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ESTAlpha Trading Guide" sheetId="1" r:id="rId3"/>
    <sheet state="visible" name="Intraday Cash Margin" sheetId="2" r:id="rId4"/>
    <sheet state="visible" name="F&amp;O Margin NestAlpha" sheetId="3" r:id="rId5"/>
    <sheet state="visible" name="F&amp;O Margin Now" sheetId="4" r:id="rId6"/>
    <sheet state="visible" name="Commodity Margin" sheetId="5" r:id="rId7"/>
    <sheet state="visible" name="Currency Futures Margin" sheetId="6" r:id="rId8"/>
    <sheet state="visible" name="Bracket Order Options" sheetId="7" r:id="rId9"/>
    <sheet state="visible" name="Bracket Order CDS Option " sheetId="8" r:id="rId10"/>
    <sheet state="visible" name="Equity Plus" sheetId="9" r:id="rId11"/>
  </sheets>
  <definedNames/>
  <calcPr/>
</workbook>
</file>

<file path=xl/sharedStrings.xml><?xml version="1.0" encoding="utf-8"?>
<sst xmlns="http://schemas.openxmlformats.org/spreadsheetml/2006/main" count="2880" uniqueCount="590">
  <si>
    <t>,</t>
  </si>
  <si>
    <t xml:space="preserve"> </t>
  </si>
  <si>
    <t>PRODUCT</t>
  </si>
  <si>
    <t>MARGINS</t>
  </si>
  <si>
    <t>Note : Margins are indicative  can differ accordingly</t>
  </si>
  <si>
    <t>Symbol</t>
  </si>
  <si>
    <t>Equity Cash</t>
  </si>
  <si>
    <t>Margin details as on 30-Oct-2019</t>
  </si>
  <si>
    <t>Intraday</t>
  </si>
  <si>
    <t>MIS Intraday Leverage</t>
  </si>
  <si>
    <t>CO/BO Leverage</t>
  </si>
  <si>
    <t>BO</t>
  </si>
  <si>
    <t>Upto 20 times on F&amp;O stocks as per exchange VAR+ELM</t>
  </si>
  <si>
    <t>CO</t>
  </si>
  <si>
    <t>MIS</t>
  </si>
  <si>
    <t>5-8 times on F&amp;O stocks as per exchange VAR+ELM</t>
  </si>
  <si>
    <t>Delivery</t>
  </si>
  <si>
    <t>CNC</t>
  </si>
  <si>
    <t>100% margin required for delivery</t>
  </si>
  <si>
    <t>* While placing BO please place SL in given range to avail 5 times margin benefit</t>
  </si>
  <si>
    <t>Equity Future</t>
  </si>
  <si>
    <t>CO/BO</t>
  </si>
  <si>
    <t>7 times limit is provided in Index futures contracts</t>
  </si>
  <si>
    <t>5 times limit is provided in all Stock futures contracts</t>
  </si>
  <si>
    <t>2 times limit is provided in all the future and option selling contracts</t>
  </si>
  <si>
    <t>Carry</t>
  </si>
  <si>
    <t>NRML</t>
  </si>
  <si>
    <t>ACC</t>
  </si>
  <si>
    <t>100% margin required for carry forward</t>
  </si>
  <si>
    <t>ADANIENT</t>
  </si>
  <si>
    <t>Equity Options</t>
  </si>
  <si>
    <t>ADANIPORTS</t>
  </si>
  <si>
    <t>ADANIPOWER</t>
  </si>
  <si>
    <t>5 times limit is provided for option selling *. 50% premium required for option buying*</t>
  </si>
  <si>
    <t>AMARAJABAT</t>
  </si>
  <si>
    <t>2 times limit is provided for option selling . 100% premium required for option buying</t>
  </si>
  <si>
    <t>AMBUJACEM</t>
  </si>
  <si>
    <t>APOLLOHOSP</t>
  </si>
  <si>
    <t>100 % margin required for option buying and selling</t>
  </si>
  <si>
    <t>APOLLOTYRE</t>
  </si>
  <si>
    <t>ASHOKLEY</t>
  </si>
  <si>
    <t>Currency Future</t>
  </si>
  <si>
    <t>ASIANPAINT</t>
  </si>
  <si>
    <t>AUROPHARMA</t>
  </si>
  <si>
    <t>AXISBANK</t>
  </si>
  <si>
    <t>Market Lot</t>
  </si>
  <si>
    <t>TOTAL MARGIN/LOT</t>
  </si>
  <si>
    <t>4 times limit is provided in all Currency futures contracts</t>
  </si>
  <si>
    <t>MIS Intraday Margin</t>
  </si>
  <si>
    <t>BAJAJ-AUTO</t>
  </si>
  <si>
    <t>2 times limit is provided in all the Currency futures contracts</t>
  </si>
  <si>
    <t>CO/BO Margin</t>
  </si>
  <si>
    <t>BAJAJFINSV</t>
  </si>
  <si>
    <t>BAJFINANCE</t>
  </si>
  <si>
    <t>BALKRISIND</t>
  </si>
  <si>
    <t>BANKBARODA</t>
  </si>
  <si>
    <t>Currency Options</t>
  </si>
  <si>
    <t>BANKINDIA</t>
  </si>
  <si>
    <t>BATAINDIA</t>
  </si>
  <si>
    <t>BEL</t>
  </si>
  <si>
    <t>BERGEPAINT</t>
  </si>
  <si>
    <t>4 times limit is provided for option selling *. 50% premium required for option buying*</t>
  </si>
  <si>
    <t>BHARATFORG</t>
  </si>
  <si>
    <t>BHARTIARTL</t>
  </si>
  <si>
    <t>BHEL</t>
  </si>
  <si>
    <t>BIOCON</t>
  </si>
  <si>
    <t>SL Range %</t>
  </si>
  <si>
    <t>BOSCHLTD</t>
  </si>
  <si>
    <t>BPCL</t>
  </si>
  <si>
    <t>BRITANNIA</t>
  </si>
  <si>
    <t>Commodity Future (Energy,Bullion,Metals)</t>
  </si>
  <si>
    <t>CADILAHC</t>
  </si>
  <si>
    <t>CANBK</t>
  </si>
  <si>
    <t>CASTROLIND</t>
  </si>
  <si>
    <t>Upto 10 times limit is provided in Natural Gas &amp; Crudeoil contracts</t>
  </si>
  <si>
    <t>CENTURYTEX</t>
  </si>
  <si>
    <t>CESC</t>
  </si>
  <si>
    <t>BANKNIFTY</t>
  </si>
  <si>
    <t>5 times limit is provided in all futures contracts</t>
  </si>
  <si>
    <t>CHOLAFIN</t>
  </si>
  <si>
    <t>CIPLA</t>
  </si>
  <si>
    <t>COALINDIA</t>
  </si>
  <si>
    <t>2 times limit is provided in all the futures Contracts</t>
  </si>
  <si>
    <t>COLPAL</t>
  </si>
  <si>
    <t>CONCOR</t>
  </si>
  <si>
    <t>CUMMINSIND</t>
  </si>
  <si>
    <t>DABUR</t>
  </si>
  <si>
    <t>DISHTV</t>
  </si>
  <si>
    <t>DIVISLAB</t>
  </si>
  <si>
    <t>DLF</t>
  </si>
  <si>
    <t>DRREDDY</t>
  </si>
  <si>
    <t>EICHERMOT</t>
  </si>
  <si>
    <t>EQUITAS</t>
  </si>
  <si>
    <t>ESCORTS</t>
  </si>
  <si>
    <t>* Please refer to attached sheets for scrip wise margins in Equity cash, Equity Futures and Commodity</t>
  </si>
  <si>
    <t>EXIDEIND</t>
  </si>
  <si>
    <t>** All position in CO/BO and MIS product type will be Squared Off by 3:20 PM(Equity)</t>
  </si>
  <si>
    <t>FEDERALBNK</t>
  </si>
  <si>
    <t>** All position in CO/BO and MIS product type will be Squared Off by 4:50 PM(Currency)</t>
  </si>
  <si>
    <t>GAIL</t>
  </si>
  <si>
    <t>** All position in CO/BO and MIS product type will be Squared Off by 11.15/11:40 PM (Commodity)</t>
  </si>
  <si>
    <t>GLENMARK</t>
  </si>
  <si>
    <t>*** In case of insufficient carry forward margins, positions in NRML will be squared off</t>
  </si>
  <si>
    <t>GMRINFRA</t>
  </si>
  <si>
    <t>GODREJCP</t>
  </si>
  <si>
    <t>GRASIM</t>
  </si>
  <si>
    <t>HAVELLS</t>
  </si>
  <si>
    <t>HCLTECH</t>
  </si>
  <si>
    <t>HDFC</t>
  </si>
  <si>
    <t>HDFCBANK</t>
  </si>
  <si>
    <t>HEROMOTOCO</t>
  </si>
  <si>
    <t>HEXAWARE</t>
  </si>
  <si>
    <t>**** No delivery will be allowed in Commodity</t>
  </si>
  <si>
    <t>HINDALCO</t>
  </si>
  <si>
    <t>HINDPETRO</t>
  </si>
  <si>
    <t>HINDUNILVR</t>
  </si>
  <si>
    <t>IBULHSGFIN</t>
  </si>
  <si>
    <t>ICICIBANK</t>
  </si>
  <si>
    <t>*****Stocks under Graded Surveillance Measure (GSM) would not be available for trading.</t>
  </si>
  <si>
    <t>ICICIPRULI</t>
  </si>
  <si>
    <t>IDEA</t>
  </si>
  <si>
    <t>IDFCFIRSTB</t>
  </si>
  <si>
    <t>IGL</t>
  </si>
  <si>
    <t>INDIGO</t>
  </si>
  <si>
    <t>INDUSINDBK</t>
  </si>
  <si>
    <t>INFRATEL</t>
  </si>
  <si>
    <t>INFY</t>
  </si>
  <si>
    <t>IOC</t>
  </si>
  <si>
    <t>ITC</t>
  </si>
  <si>
    <t>JINDALSTEL</t>
  </si>
  <si>
    <t>JSWSTEEL</t>
  </si>
  <si>
    <t>JUBLFOOD</t>
  </si>
  <si>
    <t>JUSTDIAL</t>
  </si>
  <si>
    <t>KOTAKBANK</t>
  </si>
  <si>
    <t>L&amp;TFH</t>
  </si>
  <si>
    <t>LICHSGFIN</t>
  </si>
  <si>
    <t>LT</t>
  </si>
  <si>
    <t>LUPIN</t>
  </si>
  <si>
    <t>M&amp;M</t>
  </si>
  <si>
    <t>M&amp;MFIN</t>
  </si>
  <si>
    <t>MANAPPURAM</t>
  </si>
  <si>
    <t>MARICO</t>
  </si>
  <si>
    <t>MARUTI</t>
  </si>
  <si>
    <t>MCDOWELL-N</t>
  </si>
  <si>
    <t>MFSL</t>
  </si>
  <si>
    <t>MGL</t>
  </si>
  <si>
    <t>MINDTREE</t>
  </si>
  <si>
    <t>NIFTY</t>
  </si>
  <si>
    <t>MOTHERSUMI</t>
  </si>
  <si>
    <t>MRF</t>
  </si>
  <si>
    <t>MUTHOOTFIN</t>
  </si>
  <si>
    <t>NATIONALUM</t>
  </si>
  <si>
    <t>NBCC</t>
  </si>
  <si>
    <t>NCC</t>
  </si>
  <si>
    <t>NESTLEIND</t>
  </si>
  <si>
    <t>NIITTECH</t>
  </si>
  <si>
    <t>NMDC</t>
  </si>
  <si>
    <t>NTPC</t>
  </si>
  <si>
    <t>OIL</t>
  </si>
  <si>
    <t>ONGC</t>
  </si>
  <si>
    <t>PAGEIND</t>
  </si>
  <si>
    <t>PEL</t>
  </si>
  <si>
    <t>PETRONET</t>
  </si>
  <si>
    <t>PFC</t>
  </si>
  <si>
    <t>PIDILITIND</t>
  </si>
  <si>
    <t>PNB</t>
  </si>
  <si>
    <t>POWERGRID</t>
  </si>
  <si>
    <t>PVR</t>
  </si>
  <si>
    <t>RAMCOCEM</t>
  </si>
  <si>
    <t>RBLBANK</t>
  </si>
  <si>
    <t>RECLTD</t>
  </si>
  <si>
    <t>RELIANCE</t>
  </si>
  <si>
    <t>SAIL</t>
  </si>
  <si>
    <t>SBIN</t>
  </si>
  <si>
    <t>SHREECEM</t>
  </si>
  <si>
    <t>SIEMENS</t>
  </si>
  <si>
    <t>SRF</t>
  </si>
  <si>
    <t>SRTRANSFIN</t>
  </si>
  <si>
    <t>STAR</t>
  </si>
  <si>
    <t>SUNPHARMA</t>
  </si>
  <si>
    <t>SUNTV</t>
  </si>
  <si>
    <t>TATACHEM</t>
  </si>
  <si>
    <t>TATAELXSI</t>
  </si>
  <si>
    <t>TATAGLOBAL</t>
  </si>
  <si>
    <t>TATAMOTORS</t>
  </si>
  <si>
    <t>TATAMTRDVR</t>
  </si>
  <si>
    <t>TATAPOWER</t>
  </si>
  <si>
    <t>TATASTEEL</t>
  </si>
  <si>
    <t>TCS</t>
  </si>
  <si>
    <t>TECHM</t>
  </si>
  <si>
    <t>TITAN</t>
  </si>
  <si>
    <t>TORNTPHARM</t>
  </si>
  <si>
    <t>TORNTPOWER</t>
  </si>
  <si>
    <t>TVSMOTOR</t>
  </si>
  <si>
    <t>UBL</t>
  </si>
  <si>
    <t>UJJIVAN</t>
  </si>
  <si>
    <t>ULTRACEMCO</t>
  </si>
  <si>
    <t>UNIONBANK</t>
  </si>
  <si>
    <t>UPL</t>
  </si>
  <si>
    <t>VEDL</t>
  </si>
  <si>
    <t>VOLTAS</t>
  </si>
  <si>
    <t>WIPRO</t>
  </si>
  <si>
    <t>YESBANK</t>
  </si>
  <si>
    <t>ZEEL</t>
  </si>
  <si>
    <t>Cover Order Leverage</t>
  </si>
  <si>
    <t>3MINDIA</t>
  </si>
  <si>
    <t>AAVAS</t>
  </si>
  <si>
    <t>ABB</t>
  </si>
  <si>
    <t>ABBOTINDIA</t>
  </si>
  <si>
    <t>ABCAPITAL</t>
  </si>
  <si>
    <t>ABFRL</t>
  </si>
  <si>
    <t>ADANITRANS</t>
  </si>
  <si>
    <t>ADVENZYMES</t>
  </si>
  <si>
    <t>AEGISCHEM</t>
  </si>
  <si>
    <t>AIAENG</t>
  </si>
  <si>
    <t>AJANTPHARM</t>
  </si>
  <si>
    <t>AKZOINDIA</t>
  </si>
  <si>
    <t>ALBK</t>
  </si>
  <si>
    <t>ALKEM</t>
  </si>
  <si>
    <t>ALLCARGO</t>
  </si>
  <si>
    <t>ANDHRABANK</t>
  </si>
  <si>
    <t>APLAPOLLO</t>
  </si>
  <si>
    <t>APLLTD</t>
  </si>
  <si>
    <t>APTECHT</t>
  </si>
  <si>
    <t>ARVIND</t>
  </si>
  <si>
    <t>ASAHIINDIA</t>
  </si>
  <si>
    <t>ASHOKA</t>
  </si>
  <si>
    <t>ASTERDM</t>
  </si>
  <si>
    <t>ASTRAL</t>
  </si>
  <si>
    <t>ASTRAZEN</t>
  </si>
  <si>
    <t>ATFL</t>
  </si>
  <si>
    <t>ATUL</t>
  </si>
  <si>
    <t>AUBANK</t>
  </si>
  <si>
    <t>AUTOAXLES</t>
  </si>
  <si>
    <t>AVANTIFEED</t>
  </si>
  <si>
    <t>BAJAJCON</t>
  </si>
  <si>
    <t>BAJAJELEC</t>
  </si>
  <si>
    <t>BAJAJHLDNG</t>
  </si>
  <si>
    <t>BALMLAWRIE</t>
  </si>
  <si>
    <t>BALRAMCHIN</t>
  </si>
  <si>
    <t>BANCOINDIA</t>
  </si>
  <si>
    <t>BASF</t>
  </si>
  <si>
    <t>BAYERCROP</t>
  </si>
  <si>
    <t>BBTC</t>
  </si>
  <si>
    <t>BDL</t>
  </si>
  <si>
    <t>BEML</t>
  </si>
  <si>
    <t>BFUTILITIE</t>
  </si>
  <si>
    <t>BGRENERGY</t>
  </si>
  <si>
    <t>BIRLACORPN</t>
  </si>
  <si>
    <t>BLUEDART</t>
  </si>
  <si>
    <t>BLUESTARCO</t>
  </si>
  <si>
    <t>BOMDYEING</t>
  </si>
  <si>
    <t>BRIGADE</t>
  </si>
  <si>
    <t>BSE</t>
  </si>
  <si>
    <t>BSOFT</t>
  </si>
  <si>
    <t>CANFINHOME</t>
  </si>
  <si>
    <t>CAPLIPOINT</t>
  </si>
  <si>
    <t>CARBORUNIV</t>
  </si>
  <si>
    <t>CARERATING</t>
  </si>
  <si>
    <t>CCL</t>
  </si>
  <si>
    <t>CDSL</t>
  </si>
  <si>
    <t>CEATLTD</t>
  </si>
  <si>
    <t>CENTRALBK</t>
  </si>
  <si>
    <t>CENTURYPLY</t>
  </si>
  <si>
    <t>CERA</t>
  </si>
  <si>
    <t>CHALET</t>
  </si>
  <si>
    <t>CHAMBLFERT</t>
  </si>
  <si>
    <t>CHENNPETRO</t>
  </si>
  <si>
    <t>CHOLAHLDNG</t>
  </si>
  <si>
    <t>COCHINSHIP</t>
  </si>
  <si>
    <t>COROMANDEL</t>
  </si>
  <si>
    <t>CORPBANK</t>
  </si>
  <si>
    <t>CREDITACC</t>
  </si>
  <si>
    <t>CRISIL</t>
  </si>
  <si>
    <t>CROMPTON</t>
  </si>
  <si>
    <t>CUB</t>
  </si>
  <si>
    <t>CYIENT</t>
  </si>
  <si>
    <t>DALBHARAT</t>
  </si>
  <si>
    <t>DBCORP</t>
  </si>
  <si>
    <t>DBL</t>
  </si>
  <si>
    <t>DCAL</t>
  </si>
  <si>
    <t>DCBBANK</t>
  </si>
  <si>
    <t>DCMSHRIRAM</t>
  </si>
  <si>
    <t>DEEPAKFERT</t>
  </si>
  <si>
    <t>DEEPAKNTR</t>
  </si>
  <si>
    <t>DELTACORP</t>
  </si>
  <si>
    <t>DMART</t>
  </si>
  <si>
    <t>ECLERX</t>
  </si>
  <si>
    <t>EIDPARRY</t>
  </si>
  <si>
    <t>EIHOTEL</t>
  </si>
  <si>
    <t>ELGIEQUIP</t>
  </si>
  <si>
    <t>EMAMILTD</t>
  </si>
  <si>
    <t>ENDURANCE</t>
  </si>
  <si>
    <t>ENGINERSIN</t>
  </si>
  <si>
    <t>ERIS</t>
  </si>
  <si>
    <t>ESSELPACK</t>
  </si>
  <si>
    <t>FCONSUMER</t>
  </si>
  <si>
    <t>FDC</t>
  </si>
  <si>
    <t>FINCABLES</t>
  </si>
  <si>
    <t>FINEORG</t>
  </si>
  <si>
    <t>FINPIPE</t>
  </si>
  <si>
    <t>FLFL</t>
  </si>
  <si>
    <t>FORTIS</t>
  </si>
  <si>
    <t>FRETAIL</t>
  </si>
  <si>
    <t>FSL</t>
  </si>
  <si>
    <t>GALAXYSURF</t>
  </si>
  <si>
    <t>GAYAPROJ</t>
  </si>
  <si>
    <t>GDL</t>
  </si>
  <si>
    <t>GEPIL</t>
  </si>
  <si>
    <t>GESHIP</t>
  </si>
  <si>
    <t>GET&amp;D</t>
  </si>
  <si>
    <t>GHCL</t>
  </si>
  <si>
    <t>GICRE</t>
  </si>
  <si>
    <t>GILLETTE</t>
  </si>
  <si>
    <t>GLAXO</t>
  </si>
  <si>
    <t>GMDCLTD</t>
  </si>
  <si>
    <t>GNFC</t>
  </si>
  <si>
    <t>GODFRYPHLP</t>
  </si>
  <si>
    <t>GODREJAGRO</t>
  </si>
  <si>
    <t>GODREJIND</t>
  </si>
  <si>
    <t>GODREJPROP</t>
  </si>
  <si>
    <t>GPPL</t>
  </si>
  <si>
    <t>GRANULES</t>
  </si>
  <si>
    <t>GRAPHITE</t>
  </si>
  <si>
    <t>GREAVESCOT</t>
  </si>
  <si>
    <t>GRINDWELL</t>
  </si>
  <si>
    <t>GSFC</t>
  </si>
  <si>
    <t>GSKCONS</t>
  </si>
  <si>
    <t>GSPL</t>
  </si>
  <si>
    <t>GUJALKALI</t>
  </si>
  <si>
    <t>GUJGASLTD</t>
  </si>
  <si>
    <t>GULFOILLUB</t>
  </si>
  <si>
    <t>HAL</t>
  </si>
  <si>
    <t>HATHWAY</t>
  </si>
  <si>
    <t>HATSUN</t>
  </si>
  <si>
    <t>HCC</t>
  </si>
  <si>
    <t>HDFCAMC</t>
  </si>
  <si>
    <t>HDFCLIFE</t>
  </si>
  <si>
    <t>HEG</t>
  </si>
  <si>
    <t>HEIDELBERG</t>
  </si>
  <si>
    <t>HERITGFOOD</t>
  </si>
  <si>
    <t>HFCL</t>
  </si>
  <si>
    <t>HIMATSEIDE</t>
  </si>
  <si>
    <t>HINDCOPPER</t>
  </si>
  <si>
    <t>HINDZINC</t>
  </si>
  <si>
    <t>HONAUT</t>
  </si>
  <si>
    <t>HSCL</t>
  </si>
  <si>
    <t>HUDCO</t>
  </si>
  <si>
    <t>ICICIGI</t>
  </si>
  <si>
    <t>ICRA</t>
  </si>
  <si>
    <t>IDBI</t>
  </si>
  <si>
    <t>IDFC</t>
  </si>
  <si>
    <t>IEX</t>
  </si>
  <si>
    <t>IFBIND</t>
  </si>
  <si>
    <t>IFCI</t>
  </si>
  <si>
    <t>INDHOTEL</t>
  </si>
  <si>
    <t>INDIACEM</t>
  </si>
  <si>
    <t>INDIANB</t>
  </si>
  <si>
    <t>INDOCO</t>
  </si>
  <si>
    <t>INDOSTAR</t>
  </si>
  <si>
    <t>INFIBEAM</t>
  </si>
  <si>
    <t>INOXLEISUR</t>
  </si>
  <si>
    <t>INTELLECT</t>
  </si>
  <si>
    <t>IOB</t>
  </si>
  <si>
    <t>IPCALAB</t>
  </si>
  <si>
    <t>IRB</t>
  </si>
  <si>
    <t>IRCON</t>
  </si>
  <si>
    <t>ITDC</t>
  </si>
  <si>
    <t>ITI</t>
  </si>
  <si>
    <t>J&amp;KBANK</t>
  </si>
  <si>
    <t>JAGRAN</t>
  </si>
  <si>
    <t>JAICORPLTD</t>
  </si>
  <si>
    <t>JAMNAAUTO</t>
  </si>
  <si>
    <t>JBCHEPHARM</t>
  </si>
  <si>
    <t>JINDALSAW</t>
  </si>
  <si>
    <t>JKCEMENT</t>
  </si>
  <si>
    <t>NOW TRADER</t>
  </si>
  <si>
    <t>JKLAKSHMI</t>
  </si>
  <si>
    <t>JKPAPER</t>
  </si>
  <si>
    <t>JKTYRE</t>
  </si>
  <si>
    <t>JMFINANCIL</t>
  </si>
  <si>
    <t>JSL</t>
  </si>
  <si>
    <t>JSWENERGY</t>
  </si>
  <si>
    <t>JUBILANT</t>
  </si>
  <si>
    <t>JYOTHYLAB</t>
  </si>
  <si>
    <t>KAJARIACER</t>
  </si>
  <si>
    <t>KALPATPOWR</t>
  </si>
  <si>
    <t>KANSAINER</t>
  </si>
  <si>
    <t>KARURVYSYA</t>
  </si>
  <si>
    <t>KEC</t>
  </si>
  <si>
    <t xml:space="preserve"> Intraday Margin</t>
  </si>
  <si>
    <t>KEI</t>
  </si>
  <si>
    <t>KIOCL</t>
  </si>
  <si>
    <t>KIRLOSENG</t>
  </si>
  <si>
    <t>KNRCON</t>
  </si>
  <si>
    <t>KOLTEPATIL</t>
  </si>
  <si>
    <t>KPRMILL</t>
  </si>
  <si>
    <t>KRBL</t>
  </si>
  <si>
    <t>KSCL</t>
  </si>
  <si>
    <t>KTKBANK</t>
  </si>
  <si>
    <t>LALPATHLAB</t>
  </si>
  <si>
    <t>LAOPALA</t>
  </si>
  <si>
    <t>LAURUSLABS</t>
  </si>
  <si>
    <t>LAXMIMACH</t>
  </si>
  <si>
    <t>LEMONTREE</t>
  </si>
  <si>
    <t>LINDEINDIA</t>
  </si>
  <si>
    <t>LTI</t>
  </si>
  <si>
    <t>LTTS</t>
  </si>
  <si>
    <t>LUXIND</t>
  </si>
  <si>
    <t>MAHABANK</t>
  </si>
  <si>
    <t>MAHINDCIE</t>
  </si>
  <si>
    <t>MAHLOG</t>
  </si>
  <si>
    <t>MAHSCOOTER</t>
  </si>
  <si>
    <t>MAHSEAMLES</t>
  </si>
  <si>
    <t>MASFIN</t>
  </si>
  <si>
    <t>MAXINDIA</t>
  </si>
  <si>
    <t>MCX</t>
  </si>
  <si>
    <t>MHRIL</t>
  </si>
  <si>
    <t>MINDACORP</t>
  </si>
  <si>
    <t>MINDAIND</t>
  </si>
  <si>
    <t>MMTC</t>
  </si>
  <si>
    <t>MOIL</t>
  </si>
  <si>
    <t>MOTILALOFS</t>
  </si>
  <si>
    <t>MPHASIS</t>
  </si>
  <si>
    <t>MRPL</t>
  </si>
  <si>
    <t>NATCOPHARM</t>
  </si>
  <si>
    <t>NAUKRI</t>
  </si>
  <si>
    <t>NAVINFLUOR</t>
  </si>
  <si>
    <t>NBVENTURES</t>
  </si>
  <si>
    <t>NESCO</t>
  </si>
  <si>
    <t>NETWORK18</t>
  </si>
  <si>
    <t>NFL</t>
  </si>
  <si>
    <t>NH</t>
  </si>
  <si>
    <t>NHPC</t>
  </si>
  <si>
    <t>NIACL</t>
  </si>
  <si>
    <t>NILKAMAL</t>
  </si>
  <si>
    <t>NLCINDIA</t>
  </si>
  <si>
    <t>OBEROIRLTY</t>
  </si>
  <si>
    <t>OCCL</t>
  </si>
  <si>
    <t>OFSS</t>
  </si>
  <si>
    <t>OMAXE</t>
  </si>
  <si>
    <t>ORIENTBANK</t>
  </si>
  <si>
    <t>ORIENTCEM</t>
  </si>
  <si>
    <t>ORIENTELEC</t>
  </si>
  <si>
    <t>PARAGMILK</t>
  </si>
  <si>
    <t>PCJEWELLER</t>
  </si>
  <si>
    <t>PERSISTENT</t>
  </si>
  <si>
    <t>PFIZER</t>
  </si>
  <si>
    <t>PFS</t>
  </si>
  <si>
    <t>PGHH</t>
  </si>
  <si>
    <t>PGHL</t>
  </si>
  <si>
    <t>PHILIPCARB</t>
  </si>
  <si>
    <t>PHOENIXLTD</t>
  </si>
  <si>
    <t>PIIND</t>
  </si>
  <si>
    <t>PNBHOUSING</t>
  </si>
  <si>
    <t>PNCINFRA</t>
  </si>
  <si>
    <t>PRAJIND</t>
  </si>
  <si>
    <t>PRESTIGE</t>
  </si>
  <si>
    <t>PRSMJOHNSN</t>
  </si>
  <si>
    <t>PTC</t>
  </si>
  <si>
    <t>QUESS</t>
  </si>
  <si>
    <t>RADICO</t>
  </si>
  <si>
    <t>RAIN</t>
  </si>
  <si>
    <t>RAJESHEXPO</t>
  </si>
  <si>
    <t>RALLIS</t>
  </si>
  <si>
    <t>RAYMOND</t>
  </si>
  <si>
    <t>RCF</t>
  </si>
  <si>
    <t>REDINGTON</t>
  </si>
  <si>
    <t>RELAXO</t>
  </si>
  <si>
    <t>RENUKA</t>
  </si>
  <si>
    <t>REPCOHOME</t>
  </si>
  <si>
    <t>RITES</t>
  </si>
  <si>
    <t>RKFORGE</t>
  </si>
  <si>
    <t>RNAM</t>
  </si>
  <si>
    <t>RUPA</t>
  </si>
  <si>
    <t>SADBHAV</t>
  </si>
  <si>
    <t>SANOFI</t>
  </si>
  <si>
    <t>SBILIFE</t>
  </si>
  <si>
    <t>SCHAEFFLER</t>
  </si>
  <si>
    <t>SCHNEIDER</t>
  </si>
  <si>
    <t>SCI</t>
  </si>
  <si>
    <t>SFL</t>
  </si>
  <si>
    <t>SHANKARA</t>
  </si>
  <si>
    <t>SHARDACROP</t>
  </si>
  <si>
    <t>SHK</t>
  </si>
  <si>
    <t>SHOPERSTOP</t>
  </si>
  <si>
    <t>SHRIRAMCIT</t>
  </si>
  <si>
    <t>SIS</t>
  </si>
  <si>
    <t>SJVN</t>
  </si>
  <si>
    <t>SKFINDIA</t>
  </si>
  <si>
    <t>SOBHA</t>
  </si>
  <si>
    <t>SOLARINDS</t>
  </si>
  <si>
    <t>SONATSOFTW</t>
  </si>
  <si>
    <t>SOUTHBANK</t>
  </si>
  <si>
    <t>SPARC</t>
  </si>
  <si>
    <t>STARCEMENT</t>
  </si>
  <si>
    <t>STRTECH</t>
  </si>
  <si>
    <t>SUDARSCHEM</t>
  </si>
  <si>
    <t>SUNCLAYLTD</t>
  </si>
  <si>
    <t>SUNDARMFIN</t>
  </si>
  <si>
    <t>SUNDRMFAST</t>
  </si>
  <si>
    <t>SUNTECK</t>
  </si>
  <si>
    <t>SUPRAJIT</t>
  </si>
  <si>
    <t>SUPREMEIND</t>
  </si>
  <si>
    <t>SUVEN</t>
  </si>
  <si>
    <t>SWANENERGY</t>
  </si>
  <si>
    <t>SYMPHONY</t>
  </si>
  <si>
    <t>SYNDIBANK</t>
  </si>
  <si>
    <t>SYNGENE</t>
  </si>
  <si>
    <t>TAKE</t>
  </si>
  <si>
    <t>TATACOFFEE</t>
  </si>
  <si>
    <t>TATAINVEST</t>
  </si>
  <si>
    <t>TCNSBRANDS</t>
  </si>
  <si>
    <t>TEAMLEASE</t>
  </si>
  <si>
    <t>THERMAX</t>
  </si>
  <si>
    <t>THYROCARE</t>
  </si>
  <si>
    <t>TIINDIA</t>
  </si>
  <si>
    <t>TIMETECHNO</t>
  </si>
  <si>
    <t>TIMKEN</t>
  </si>
  <si>
    <t>TNPL</t>
  </si>
  <si>
    <t>TRENT</t>
  </si>
  <si>
    <t>TRIDENT</t>
  </si>
  <si>
    <t>TRITURBINE</t>
  </si>
  <si>
    <t>TTKPRESTIG</t>
  </si>
  <si>
    <t>TV18BRDCST</t>
  </si>
  <si>
    <t>TVTODAY</t>
  </si>
  <si>
    <t>UCOBANK</t>
  </si>
  <si>
    <t>UFLEX</t>
  </si>
  <si>
    <t>UNITEDBNK</t>
  </si>
  <si>
    <t>VAKRANGEE</t>
  </si>
  <si>
    <t>VARROC</t>
  </si>
  <si>
    <t>VBL</t>
  </si>
  <si>
    <t>VENKEYS</t>
  </si>
  <si>
    <t>VGUARD</t>
  </si>
  <si>
    <t>VINATIORGA</t>
  </si>
  <si>
    <t>VIPIND</t>
  </si>
  <si>
    <t>VMART</t>
  </si>
  <si>
    <t>VRLLOG</t>
  </si>
  <si>
    <t>VSTIND</t>
  </si>
  <si>
    <t>VTL</t>
  </si>
  <si>
    <t>WABAG</t>
  </si>
  <si>
    <t>WABCOINDIA</t>
  </si>
  <si>
    <t>WELCORP</t>
  </si>
  <si>
    <t>WELSPUNIND</t>
  </si>
  <si>
    <t>WHIRLPOOL</t>
  </si>
  <si>
    <t>WOCKPHARMA</t>
  </si>
  <si>
    <t>ZENSARTECH</t>
  </si>
  <si>
    <t>ZYDUSWELL</t>
  </si>
  <si>
    <t>NIFTYIT</t>
  </si>
  <si>
    <t>NA</t>
  </si>
  <si>
    <t>Total Margin(%)</t>
  </si>
  <si>
    <t>Carry Forward Margin</t>
  </si>
  <si>
    <t>ALUMINI</t>
  </si>
  <si>
    <t>0.7</t>
  </si>
  <si>
    <t>ALUMINIUM</t>
  </si>
  <si>
    <t>COPPER</t>
  </si>
  <si>
    <t>CRUDEOIL</t>
  </si>
  <si>
    <t>0.85</t>
  </si>
  <si>
    <t>CRUDEOILM</t>
  </si>
  <si>
    <t>GOLD</t>
  </si>
  <si>
    <t>GOLDGUINEA</t>
  </si>
  <si>
    <t>GOLDM</t>
  </si>
  <si>
    <t>1.37</t>
  </si>
  <si>
    <t>GOLDPETAL</t>
  </si>
  <si>
    <t>LEAD</t>
  </si>
  <si>
    <t>LEADMINI</t>
  </si>
  <si>
    <t>NATURALGAS</t>
  </si>
  <si>
    <t>1.12</t>
  </si>
  <si>
    <t>NICKEL</t>
  </si>
  <si>
    <t>1.15</t>
  </si>
  <si>
    <t>SILVER</t>
  </si>
  <si>
    <t>1.02</t>
  </si>
  <si>
    <t>SILVERM</t>
  </si>
  <si>
    <t>SILVERMIC</t>
  </si>
  <si>
    <t>ZINC</t>
  </si>
  <si>
    <t>ZINCMINI</t>
  </si>
  <si>
    <t>Currency Symbol</t>
  </si>
  <si>
    <t>Carry Margin</t>
  </si>
  <si>
    <t>USDINR</t>
  </si>
  <si>
    <t>EURINR</t>
  </si>
  <si>
    <t>GBPINR</t>
  </si>
  <si>
    <t>JPYINR</t>
  </si>
  <si>
    <t>* 2 times limit provided in following options contract . Please place SL at &lt; 30% from trade price to avail 2 times margin benefit</t>
  </si>
  <si>
    <t>Expiry</t>
  </si>
  <si>
    <t>Strike price</t>
  </si>
  <si>
    <t>Option Type</t>
  </si>
  <si>
    <t>CE</t>
  </si>
  <si>
    <t>PE</t>
  </si>
  <si>
    <t>Name</t>
  </si>
  <si>
    <t>Leverage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</si>
</sst>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-mmm-yy"/>
    <numFmt numFmtId="165" formatCode="d-mmmm-yy"/>
  </numFmts>
  <fonts count="23">
    <font>
      <sz val="10.0"/>
      <color rgb="FF000000"/>
      <name val="Arial"/>
    </font>
    <font>
      <b/>
      <sz val="10.0"/>
    </font>
    <font>
      <b/>
      <sz val="12.0"/>
      <color rgb="FF000000"/>
    </font>
    <font>
      <sz val="11.0"/>
      <color rgb="FF000000"/>
      <name val="Calibri"/>
    </font>
    <font/>
    <font>
      <b/>
    </font>
    <font>
      <b/>
      <sz val="11.0"/>
      <color rgb="FF000000"/>
      <name val="Calibri"/>
    </font>
    <font>
      <b/>
      <sz val="12.0"/>
      <color rgb="FF000000"/>
      <name val="Arial"/>
    </font>
    <font>
      <b/>
      <sz val="10.0"/>
      <color rgb="FF000000"/>
    </font>
    <font>
      <b/>
      <sz val="14.0"/>
    </font>
    <font>
      <color rgb="FF222222"/>
      <name val="Arial"/>
    </font>
    <font>
      <b/>
      <color rgb="FF263238"/>
      <name val="Arial"/>
    </font>
    <font>
      <b/>
      <sz val="11.0"/>
      <color rgb="FF000000"/>
      <name val="Times New Roman"/>
    </font>
    <font>
      <b/>
      <name val="Times New Roman"/>
    </font>
    <font>
      <color rgb="FF263238"/>
      <name val="Arial"/>
    </font>
    <font>
      <u/>
      <color rgb="FF0000FF"/>
    </font>
    <font>
      <u/>
      <sz val="11.0"/>
      <color rgb="FF0000FF"/>
      <name val="Calibri"/>
    </font>
    <font>
      <sz val="10.0"/>
      <color rgb="FF000000"/>
    </font>
    <font>
      <b/>
      <sz val="14.0"/>
      <color rgb="FF000000"/>
      <name val="Arial"/>
    </font>
    <font>
      <sz val="11.0"/>
      <color rgb="FF000000"/>
      <name val="Arial"/>
    </font>
    <font>
      <b/>
      <sz val="11.0"/>
      <color rgb="FF000000"/>
      <name val="Arial"/>
    </font>
    <font>
      <b/>
      <sz val="11.0"/>
      <color rgb="FF000000"/>
    </font>
    <font>
      <sz val="10.0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4A86E8"/>
        <bgColor rgb="FF4A86E8"/>
      </patternFill>
    </fill>
  </fills>
  <borders count="8">
    <border/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shrinkToFit="0" wrapText="1"/>
    </xf>
    <xf borderId="0" fillId="0" fontId="2" numFmtId="0" xfId="0" applyAlignment="1" applyFont="1">
      <alignment horizontal="center"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2" fillId="0" fontId="1" numFmtId="0" xfId="0" applyAlignment="1" applyBorder="1" applyFont="1">
      <alignment readingOrder="0" shrinkToFit="0" wrapText="1"/>
    </xf>
    <xf borderId="3" fillId="0" fontId="4" numFmtId="0" xfId="0" applyAlignment="1" applyBorder="1" applyFont="1">
      <alignment shrinkToFit="0" wrapText="1"/>
    </xf>
    <xf borderId="0" fillId="0" fontId="5" numFmtId="0" xfId="0" applyAlignment="1" applyFont="1">
      <alignment readingOrder="0" shrinkToFit="0" wrapText="1"/>
    </xf>
    <xf borderId="4" fillId="0" fontId="4" numFmtId="0" xfId="0" applyAlignment="1" applyBorder="1" applyFont="1">
      <alignment shrinkToFit="0" wrapText="1"/>
    </xf>
    <xf borderId="0" fillId="0" fontId="5" numFmtId="0" xfId="0" applyAlignment="1" applyFont="1">
      <alignment shrinkToFit="0" wrapText="1"/>
    </xf>
    <xf borderId="0" fillId="0" fontId="6" numFmtId="0" xfId="0" applyAlignment="1" applyFont="1">
      <alignment readingOrder="0" shrinkToFit="0" vertical="bottom" wrapText="0"/>
    </xf>
    <xf borderId="0" fillId="0" fontId="6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0" fontId="8" numFmtId="0" xfId="0" applyAlignment="1" applyFont="1">
      <alignment horizontal="left" readingOrder="0" shrinkToFit="0" vertical="center" wrapText="0"/>
    </xf>
    <xf borderId="0" fillId="0" fontId="9" numFmtId="0" xfId="0" applyAlignment="1" applyFont="1">
      <alignment readingOrder="0" shrinkToFit="0" wrapText="1"/>
    </xf>
    <xf borderId="0" fillId="0" fontId="8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6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wrapText="1"/>
    </xf>
    <xf borderId="0" fillId="2" fontId="10" numFmtId="0" xfId="0" applyAlignment="1" applyFill="1" applyFont="1">
      <alignment readingOrder="0" shrinkToFit="0" wrapText="1"/>
    </xf>
    <xf borderId="0" fillId="0" fontId="11" numFmtId="0" xfId="0" applyAlignment="1" applyFont="1">
      <alignment horizontal="left" readingOrder="0" shrinkToFit="0" wrapText="1"/>
    </xf>
    <xf borderId="0" fillId="0" fontId="3" numFmtId="0" xfId="0" applyAlignment="1" applyFont="1">
      <alignment shrinkToFit="0" vertical="bottom" wrapText="0"/>
    </xf>
    <xf borderId="0" fillId="0" fontId="12" numFmtId="0" xfId="0" applyAlignment="1" applyFont="1">
      <alignment readingOrder="0" shrinkToFit="0" vertical="bottom" wrapText="0"/>
    </xf>
    <xf borderId="0" fillId="0" fontId="12" numFmtId="0" xfId="0" applyAlignment="1" applyFont="1">
      <alignment readingOrder="0" shrinkToFit="0" vertical="bottom" wrapText="0"/>
    </xf>
    <xf borderId="0" fillId="0" fontId="13" numFmtId="0" xfId="0" applyAlignment="1" applyFont="1">
      <alignment shrinkToFit="0" wrapText="1"/>
    </xf>
    <xf borderId="0" fillId="0" fontId="13" numFmtId="0" xfId="0" applyAlignment="1" applyFont="1">
      <alignment readingOrder="0" shrinkToFit="0" wrapText="1"/>
    </xf>
    <xf borderId="0" fillId="0" fontId="3" numFmtId="0" xfId="0" applyAlignment="1" applyFont="1">
      <alignment horizontal="right" readingOrder="0" shrinkToFit="0" vertical="bottom" wrapText="0"/>
    </xf>
    <xf borderId="0" fillId="0" fontId="1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wrapText="1"/>
    </xf>
    <xf borderId="0" fillId="0" fontId="14" numFmtId="0" xfId="0" applyAlignment="1" applyFont="1">
      <alignment horizontal="left" readingOrder="0" shrinkToFit="0" wrapText="1"/>
    </xf>
    <xf borderId="0" fillId="0" fontId="4" numFmtId="0" xfId="0" applyAlignment="1" applyFont="1">
      <alignment readingOrder="0" shrinkToFit="0" wrapText="1"/>
    </xf>
    <xf borderId="0" fillId="0" fontId="3" numFmtId="1" xfId="0" applyAlignment="1" applyFont="1" applyNumberFormat="1">
      <alignment horizontal="right" readingOrder="0" shrinkToFit="0" vertical="bottom" wrapText="0"/>
    </xf>
    <xf borderId="0" fillId="0" fontId="15" numFmtId="0" xfId="0" applyAlignment="1" applyFont="1">
      <alignment readingOrder="0" shrinkToFit="0" wrapText="1"/>
    </xf>
    <xf borderId="0" fillId="0" fontId="16" numFmtId="0" xfId="0" applyAlignment="1" applyFont="1">
      <alignment readingOrder="0" shrinkToFit="0" vertical="bottom" wrapText="0"/>
    </xf>
    <xf borderId="0" fillId="3" fontId="17" numFmtId="0" xfId="0" applyAlignment="1" applyFill="1" applyFont="1">
      <alignment horizontal="left" shrinkToFit="0" vertical="center" wrapText="0"/>
    </xf>
    <xf borderId="0" fillId="3" fontId="8" numFmtId="0" xfId="0" applyAlignment="1" applyFont="1">
      <alignment readingOrder="0" shrinkToFit="0" vertical="bottom" wrapText="0"/>
    </xf>
    <xf borderId="0" fillId="3" fontId="1" numFmtId="0" xfId="0" applyAlignment="1" applyFont="1">
      <alignment readingOrder="0" shrinkToFit="0" wrapText="1"/>
    </xf>
    <xf borderId="0" fillId="3" fontId="4" numFmtId="0" xfId="0" applyAlignment="1" applyFont="1">
      <alignment shrinkToFit="0" wrapText="1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18" numFmtId="0" xfId="0" applyAlignment="1" applyFont="1">
      <alignment readingOrder="0" shrinkToFit="0" vertical="bottom" wrapText="0"/>
    </xf>
    <xf borderId="0" fillId="0" fontId="12" numFmtId="0" xfId="0" applyAlignment="1" applyFont="1">
      <alignment horizontal="right" readingOrder="0" shrinkToFit="0" vertical="bottom" wrapText="0"/>
    </xf>
    <xf borderId="0" fillId="0" fontId="3" numFmtId="3" xfId="0" applyAlignment="1" applyFont="1" applyNumberFormat="1">
      <alignment shrinkToFit="0" vertical="bottom" wrapText="0"/>
    </xf>
    <xf borderId="0" fillId="0" fontId="19" numFmtId="0" xfId="0" applyAlignment="1" applyFont="1">
      <alignment horizontal="right" readingOrder="0" shrinkToFit="0" vertical="bottom" wrapText="0"/>
    </xf>
    <xf borderId="0" fillId="0" fontId="4" numFmtId="1" xfId="0" applyAlignment="1" applyFont="1" applyNumberFormat="1">
      <alignment shrinkToFit="0" wrapText="1"/>
    </xf>
    <xf borderId="0" fillId="0" fontId="1" numFmtId="1" xfId="0" applyAlignment="1" applyFont="1" applyNumberFormat="1">
      <alignment horizontal="right" readingOrder="0" shrinkToFit="0" wrapText="1"/>
    </xf>
    <xf borderId="0" fillId="0" fontId="1" numFmtId="0" xfId="0" applyAlignment="1" applyFont="1">
      <alignment shrinkToFit="0" wrapText="1"/>
    </xf>
    <xf borderId="0" fillId="0" fontId="6" numFmtId="0" xfId="0" applyAlignment="1" applyFont="1">
      <alignment horizontal="right" readingOrder="0" shrinkToFit="0" vertical="bottom" wrapText="0"/>
    </xf>
    <xf borderId="0" fillId="2" fontId="20" numFmtId="0" xfId="0" applyAlignment="1" applyFont="1">
      <alignment horizontal="left" readingOrder="0" shrinkToFit="0" wrapText="1"/>
    </xf>
    <xf borderId="0" fillId="0" fontId="21" numFmtId="0" xfId="0" applyAlignment="1" applyFont="1">
      <alignment horizontal="center" readingOrder="0" shrinkToFit="0" vertical="bottom" wrapText="0"/>
    </xf>
    <xf borderId="0" fillId="0" fontId="21" numFmtId="0" xfId="0" applyAlignment="1" applyFont="1">
      <alignment readingOrder="0" shrinkToFit="0" vertical="bottom" wrapText="0"/>
    </xf>
    <xf borderId="0" fillId="0" fontId="21" numFmtId="0" xfId="0" applyAlignment="1" applyFont="1">
      <alignment readingOrder="0" shrinkToFit="0" vertical="bottom" wrapText="0"/>
    </xf>
    <xf borderId="0" fillId="0" fontId="17" numFmtId="0" xfId="0" applyAlignment="1" applyFont="1">
      <alignment readingOrder="0" shrinkToFit="0" vertical="bottom" wrapText="0"/>
    </xf>
    <xf borderId="0" fillId="0" fontId="17" numFmtId="0" xfId="0" applyAlignment="1" applyFont="1">
      <alignment readingOrder="0" shrinkToFit="0" vertical="bottom" wrapText="0"/>
    </xf>
    <xf borderId="0" fillId="0" fontId="17" numFmtId="10" xfId="0" applyAlignment="1" applyFont="1" applyNumberFormat="1">
      <alignment readingOrder="0" shrinkToFit="0" vertical="bottom" wrapText="0"/>
    </xf>
    <xf borderId="0" fillId="0" fontId="17" numFmtId="1" xfId="0" applyAlignment="1" applyFont="1" applyNumberFormat="1">
      <alignment shrinkToFit="0" vertical="bottom" wrapText="0"/>
    </xf>
    <xf borderId="0" fillId="0" fontId="3" numFmtId="49" xfId="0" applyAlignment="1" applyFont="1" applyNumberFormat="1">
      <alignment horizontal="right" readingOrder="0" shrinkToFit="0" vertical="bottom" wrapText="0"/>
    </xf>
    <xf borderId="0" fillId="0" fontId="17" numFmtId="1" xfId="0" applyAlignment="1" applyFont="1" applyNumberFormat="1">
      <alignment readingOrder="0" shrinkToFit="0" vertical="bottom" wrapText="0"/>
    </xf>
    <xf borderId="0" fillId="0" fontId="22" numFmtId="0" xfId="0" applyAlignment="1" applyFont="1">
      <alignment readingOrder="0" shrinkToFit="0" wrapText="1"/>
    </xf>
    <xf borderId="1" fillId="0" fontId="20" numFmtId="0" xfId="0" applyAlignment="1" applyBorder="1" applyFont="1">
      <alignment readingOrder="0" shrinkToFit="0" vertical="bottom" wrapText="0"/>
    </xf>
    <xf borderId="0" fillId="0" fontId="17" numFmtId="0" xfId="0" applyAlignment="1" applyFont="1">
      <alignment shrinkToFit="0" vertical="bottom" wrapText="0"/>
    </xf>
    <xf borderId="0" fillId="0" fontId="20" numFmtId="0" xfId="0" applyAlignment="1" applyFont="1">
      <alignment readingOrder="0" shrinkToFit="0" vertical="bottom" wrapText="0"/>
    </xf>
    <xf borderId="0" fillId="0" fontId="3" numFmtId="49" xfId="0" applyAlignment="1" applyFont="1" applyNumberFormat="1">
      <alignment shrinkToFit="0" vertical="bottom" wrapText="0"/>
    </xf>
    <xf borderId="5" fillId="0" fontId="3" numFmtId="0" xfId="0" applyAlignment="1" applyBorder="1" applyFont="1">
      <alignment readingOrder="0" shrinkToFit="0" vertical="bottom" wrapText="0"/>
    </xf>
    <xf borderId="0" fillId="0" fontId="17" numFmtId="49" xfId="0" applyAlignment="1" applyFont="1" applyNumberFormat="1">
      <alignment shrinkToFit="0" vertical="bottom" wrapText="0"/>
    </xf>
    <xf borderId="5" fillId="0" fontId="19" numFmtId="0" xfId="0" applyAlignment="1" applyBorder="1" applyFont="1">
      <alignment readingOrder="0" shrinkToFit="0" vertical="bottom" wrapText="0"/>
    </xf>
    <xf borderId="5" fillId="0" fontId="3" numFmtId="1" xfId="0" applyAlignment="1" applyBorder="1" applyFont="1" applyNumberFormat="1">
      <alignment readingOrder="0" shrinkToFit="0" vertical="bottom" wrapText="0"/>
    </xf>
    <xf borderId="5" fillId="0" fontId="6" numFmtId="0" xfId="0" applyAlignment="1" applyBorder="1" applyFont="1">
      <alignment shrinkToFit="0" vertical="bottom" wrapText="0"/>
    </xf>
    <xf borderId="5" fillId="0" fontId="6" numFmtId="0" xfId="0" applyAlignment="1" applyBorder="1" applyFont="1">
      <alignment readingOrder="0" shrinkToFit="0" vertical="bottom" wrapText="0"/>
    </xf>
    <xf borderId="6" fillId="0" fontId="6" numFmtId="0" xfId="0" applyAlignment="1" applyBorder="1" applyFont="1">
      <alignment shrinkToFit="0" vertical="bottom" wrapText="0"/>
    </xf>
    <xf borderId="5" fillId="0" fontId="3" numFmtId="0" xfId="0" applyAlignment="1" applyBorder="1" applyFont="1">
      <alignment shrinkToFit="0" vertical="bottom" wrapText="0"/>
    </xf>
    <xf borderId="7" fillId="0" fontId="3" numFmtId="0" xfId="0" applyAlignment="1" applyBorder="1" applyFont="1">
      <alignment shrinkToFit="0" vertical="bottom" wrapText="0"/>
    </xf>
    <xf borderId="0" fillId="0" fontId="3" numFmtId="164" xfId="0" applyAlignment="1" applyFont="1" applyNumberFormat="1">
      <alignment horizontal="right" readingOrder="0"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0" fontId="4" numFmtId="0" xfId="0" applyAlignment="1" applyFont="1">
      <alignment horizontal="right" shrinkToFit="0" wrapText="1"/>
    </xf>
    <xf borderId="0" fillId="0" fontId="3" numFmtId="165" xfId="0" applyAlignment="1" applyFont="1" applyNumberFormat="1">
      <alignment horizontal="right"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11" Type="http://schemas.openxmlformats.org/officeDocument/2006/relationships/worksheet" Target="worksheets/sheet9.xml"/><Relationship Id="rId10" Type="http://schemas.openxmlformats.org/officeDocument/2006/relationships/worksheet" Target="worksheets/sheet8.xml"/><Relationship Id="rId9" Type="http://schemas.openxmlformats.org/officeDocument/2006/relationships/worksheet" Target="worksheets/sheet7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2733675" cy="590550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152400</xdr:colOff>
      <xdr:row>0</xdr:row>
      <xdr:rowOff>152400</xdr:rowOff>
    </xdr:from>
    <xdr:ext cx="2333625" cy="8286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2.75"/>
  <cols>
    <col customWidth="1" min="1" max="1" width="39.0"/>
    <col customWidth="1" min="2" max="2" width="17.29"/>
    <col customWidth="1" min="3" max="3" width="84.57"/>
    <col customWidth="1" min="4" max="26" width="17.29"/>
  </cols>
  <sheetData>
    <row r="1">
      <c r="A1" s="1"/>
      <c r="B1" s="1" t="s">
        <v>2</v>
      </c>
      <c r="C1" s="4" t="s">
        <v>3</v>
      </c>
      <c r="D1" s="5"/>
    </row>
    <row r="2">
      <c r="A2" s="7"/>
      <c r="B2" s="7"/>
      <c r="C2" s="7"/>
    </row>
    <row r="3">
      <c r="A3" s="9" t="s">
        <v>6</v>
      </c>
      <c r="B3" s="11"/>
      <c r="C3" s="11"/>
    </row>
    <row r="4">
      <c r="A4" s="16" t="s">
        <v>8</v>
      </c>
      <c r="B4" s="16" t="s">
        <v>11</v>
      </c>
      <c r="C4" s="16" t="s">
        <v>12</v>
      </c>
    </row>
    <row r="5">
      <c r="A5" s="16" t="s">
        <v>8</v>
      </c>
      <c r="B5" s="16" t="s">
        <v>13</v>
      </c>
      <c r="C5" s="16" t="s">
        <v>12</v>
      </c>
    </row>
    <row r="6">
      <c r="A6" s="16" t="s">
        <v>8</v>
      </c>
      <c r="B6" s="16" t="s">
        <v>14</v>
      </c>
      <c r="C6" s="16" t="s">
        <v>15</v>
      </c>
    </row>
    <row r="7">
      <c r="A7" s="16" t="s">
        <v>16</v>
      </c>
      <c r="B7" s="16" t="s">
        <v>17</v>
      </c>
      <c r="C7" s="16" t="s">
        <v>18</v>
      </c>
    </row>
    <row r="8">
      <c r="A8" s="11"/>
      <c r="B8" s="11"/>
      <c r="C8" s="11"/>
    </row>
    <row r="9">
      <c r="A9" s="9" t="s">
        <v>20</v>
      </c>
      <c r="B9" s="11"/>
      <c r="C9" s="11"/>
    </row>
    <row r="10">
      <c r="A10" s="16" t="s">
        <v>8</v>
      </c>
      <c r="B10" s="16" t="s">
        <v>21</v>
      </c>
      <c r="C10" s="16" t="s">
        <v>22</v>
      </c>
    </row>
    <row r="11">
      <c r="A11" s="16" t="s">
        <v>8</v>
      </c>
      <c r="B11" s="16" t="s">
        <v>21</v>
      </c>
      <c r="C11" s="16" t="s">
        <v>23</v>
      </c>
    </row>
    <row r="12">
      <c r="A12" s="16" t="s">
        <v>8</v>
      </c>
      <c r="B12" s="16" t="s">
        <v>14</v>
      </c>
      <c r="C12" s="16" t="s">
        <v>24</v>
      </c>
    </row>
    <row r="13">
      <c r="A13" s="16" t="s">
        <v>25</v>
      </c>
      <c r="B13" s="16" t="s">
        <v>26</v>
      </c>
      <c r="C13" s="16" t="s">
        <v>28</v>
      </c>
    </row>
    <row r="14">
      <c r="A14" s="11"/>
      <c r="B14" s="11"/>
      <c r="C14" s="11"/>
    </row>
    <row r="15">
      <c r="A15" s="9" t="s">
        <v>30</v>
      </c>
      <c r="B15" s="11"/>
      <c r="C15" s="11"/>
    </row>
    <row r="16">
      <c r="A16" s="16" t="s">
        <v>8</v>
      </c>
      <c r="B16" s="16" t="s">
        <v>11</v>
      </c>
      <c r="C16" s="16" t="s">
        <v>33</v>
      </c>
    </row>
    <row r="17">
      <c r="A17" s="16" t="s">
        <v>8</v>
      </c>
      <c r="B17" s="16" t="s">
        <v>14</v>
      </c>
      <c r="C17" s="16" t="s">
        <v>35</v>
      </c>
    </row>
    <row r="18">
      <c r="A18" s="16" t="s">
        <v>25</v>
      </c>
      <c r="B18" s="16" t="s">
        <v>26</v>
      </c>
      <c r="C18" s="16" t="s">
        <v>38</v>
      </c>
    </row>
    <row r="19">
      <c r="A19" s="11"/>
      <c r="B19" s="11"/>
      <c r="C19" s="11"/>
    </row>
    <row r="20">
      <c r="A20" s="9" t="s">
        <v>41</v>
      </c>
      <c r="B20" s="21"/>
      <c r="C20" s="11"/>
    </row>
    <row r="21">
      <c r="A21" s="16" t="s">
        <v>8</v>
      </c>
      <c r="B21" s="16" t="s">
        <v>21</v>
      </c>
      <c r="C21" s="16" t="s">
        <v>47</v>
      </c>
    </row>
    <row r="22">
      <c r="A22" s="16" t="s">
        <v>8</v>
      </c>
      <c r="B22" s="16" t="s">
        <v>14</v>
      </c>
      <c r="C22" s="16" t="s">
        <v>50</v>
      </c>
    </row>
    <row r="23">
      <c r="A23" s="16" t="s">
        <v>25</v>
      </c>
      <c r="B23" s="16" t="s">
        <v>26</v>
      </c>
      <c r="C23" s="16" t="s">
        <v>28</v>
      </c>
    </row>
    <row r="24">
      <c r="A24" s="11"/>
      <c r="B24" s="11"/>
      <c r="C24" s="11"/>
    </row>
    <row r="25">
      <c r="A25" s="9" t="s">
        <v>56</v>
      </c>
      <c r="B25" s="21"/>
      <c r="C25" s="11"/>
    </row>
    <row r="26">
      <c r="A26" s="16" t="s">
        <v>8</v>
      </c>
      <c r="B26" s="16" t="s">
        <v>11</v>
      </c>
      <c r="C26" s="16" t="s">
        <v>61</v>
      </c>
    </row>
    <row r="27">
      <c r="A27" s="16" t="s">
        <v>8</v>
      </c>
      <c r="B27" s="16" t="s">
        <v>14</v>
      </c>
      <c r="C27" s="16" t="s">
        <v>35</v>
      </c>
    </row>
    <row r="28">
      <c r="A28" s="16" t="s">
        <v>25</v>
      </c>
      <c r="B28" s="16" t="s">
        <v>26</v>
      </c>
      <c r="C28" s="16" t="s">
        <v>38</v>
      </c>
    </row>
    <row r="29">
      <c r="A29" s="11"/>
      <c r="B29" s="11"/>
      <c r="C29" s="11"/>
    </row>
    <row r="30">
      <c r="A30" s="9" t="s">
        <v>70</v>
      </c>
      <c r="B30" s="21"/>
      <c r="C30" s="21"/>
    </row>
    <row r="31">
      <c r="A31" s="16" t="s">
        <v>8</v>
      </c>
      <c r="B31" s="16" t="s">
        <v>21</v>
      </c>
      <c r="C31" s="16" t="s">
        <v>74</v>
      </c>
    </row>
    <row r="32">
      <c r="A32" s="16" t="s">
        <v>8</v>
      </c>
      <c r="B32" s="16" t="s">
        <v>21</v>
      </c>
      <c r="C32" s="16" t="s">
        <v>78</v>
      </c>
    </row>
    <row r="33">
      <c r="A33" s="16" t="s">
        <v>8</v>
      </c>
      <c r="B33" s="16" t="s">
        <v>14</v>
      </c>
      <c r="C33" s="16" t="s">
        <v>82</v>
      </c>
    </row>
    <row r="34">
      <c r="A34" s="16" t="s">
        <v>25</v>
      </c>
      <c r="B34" s="16" t="s">
        <v>26</v>
      </c>
      <c r="C34" s="16" t="s">
        <v>28</v>
      </c>
    </row>
    <row r="36">
      <c r="C36" s="27"/>
    </row>
    <row r="37">
      <c r="C37" s="18"/>
    </row>
    <row r="38">
      <c r="C38" s="18" t="s">
        <v>94</v>
      </c>
    </row>
    <row r="39">
      <c r="C39" s="18" t="s">
        <v>96</v>
      </c>
    </row>
    <row r="40">
      <c r="C40" s="18" t="s">
        <v>98</v>
      </c>
    </row>
    <row r="41">
      <c r="C41" s="18" t="s">
        <v>100</v>
      </c>
    </row>
    <row r="42">
      <c r="C42" s="28" t="s">
        <v>102</v>
      </c>
    </row>
    <row r="43">
      <c r="A43" s="29"/>
      <c r="C43" s="28" t="s">
        <v>112</v>
      </c>
    </row>
    <row r="44">
      <c r="C44" s="6"/>
    </row>
    <row r="45">
      <c r="C45" s="30"/>
    </row>
    <row r="46">
      <c r="C46" s="28" t="s">
        <v>118</v>
      </c>
    </row>
    <row r="47">
      <c r="C47" s="32" t="str">
        <f>HYPERLINK("https://docs.google.com/spreadsheets/d/1Neil1KrazvTEyBuX9hjwGou3do1CfAXL2nLj4JXV9-c/edit#gid=251602533","GSM Stock List")</f>
        <v>GSM Stock List</v>
      </c>
    </row>
    <row r="48">
      <c r="C48" s="3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2.75"/>
  <cols>
    <col customWidth="1" min="1" max="1" width="39.0"/>
    <col customWidth="1" min="2" max="2" width="24.29"/>
    <col customWidth="1" min="3" max="3" width="21.29"/>
    <col customWidth="1" min="4" max="4" width="58.29"/>
  </cols>
  <sheetData>
    <row r="1" ht="18.0" customHeight="1">
      <c r="A1" s="2" t="s">
        <v>0</v>
      </c>
      <c r="D1" s="3" t="s">
        <v>4</v>
      </c>
    </row>
    <row r="2" ht="15.75" customHeight="1">
      <c r="A2" s="13" t="s">
        <v>5</v>
      </c>
      <c r="B2" s="15" t="s">
        <v>9</v>
      </c>
      <c r="C2" s="18" t="s">
        <v>10</v>
      </c>
    </row>
    <row r="3">
      <c r="A3" s="16" t="s">
        <v>27</v>
      </c>
      <c r="B3" s="16">
        <v>8.0</v>
      </c>
      <c r="C3" s="16">
        <v>20.0</v>
      </c>
    </row>
    <row r="4">
      <c r="A4" s="16" t="s">
        <v>29</v>
      </c>
      <c r="B4" s="16">
        <v>3.4</v>
      </c>
      <c r="C4" s="16">
        <v>8.4</v>
      </c>
    </row>
    <row r="5">
      <c r="A5" s="16" t="s">
        <v>31</v>
      </c>
      <c r="B5" s="16">
        <v>7.9</v>
      </c>
      <c r="C5" s="16">
        <v>19.8</v>
      </c>
    </row>
    <row r="6">
      <c r="A6" s="16" t="s">
        <v>32</v>
      </c>
      <c r="B6" s="16">
        <v>2.9</v>
      </c>
      <c r="C6" s="16">
        <v>7.1</v>
      </c>
    </row>
    <row r="7">
      <c r="A7" s="16" t="s">
        <v>34</v>
      </c>
      <c r="B7" s="16">
        <v>8.0</v>
      </c>
      <c r="C7" s="16">
        <v>20.0</v>
      </c>
    </row>
    <row r="8">
      <c r="A8" s="16" t="s">
        <v>36</v>
      </c>
      <c r="B8" s="16">
        <v>7.1</v>
      </c>
      <c r="C8" s="16">
        <v>17.6</v>
      </c>
    </row>
    <row r="9">
      <c r="A9" s="16" t="s">
        <v>37</v>
      </c>
      <c r="B9" s="16">
        <v>7.9</v>
      </c>
      <c r="C9" s="16">
        <v>19.8</v>
      </c>
    </row>
    <row r="10">
      <c r="A10" s="16" t="s">
        <v>39</v>
      </c>
      <c r="B10" s="16">
        <v>7.9</v>
      </c>
      <c r="C10" s="16">
        <v>19.9</v>
      </c>
    </row>
    <row r="11">
      <c r="A11" s="16" t="s">
        <v>40</v>
      </c>
      <c r="B11" s="16">
        <v>4.6</v>
      </c>
      <c r="C11" s="16">
        <v>11.6</v>
      </c>
    </row>
    <row r="12">
      <c r="A12" s="16" t="s">
        <v>42</v>
      </c>
      <c r="B12" s="16">
        <v>8.0</v>
      </c>
      <c r="C12" s="16">
        <v>20.0</v>
      </c>
    </row>
    <row r="13">
      <c r="A13" s="16" t="s">
        <v>43</v>
      </c>
      <c r="B13" s="16">
        <v>5.3</v>
      </c>
      <c r="C13" s="16">
        <v>13.2</v>
      </c>
    </row>
    <row r="14">
      <c r="A14" s="16" t="s">
        <v>44</v>
      </c>
      <c r="B14" s="16">
        <v>8.0</v>
      </c>
      <c r="C14" s="16">
        <v>20.0</v>
      </c>
    </row>
    <row r="15">
      <c r="A15" s="16" t="s">
        <v>49</v>
      </c>
      <c r="B15" s="16">
        <v>8.0</v>
      </c>
      <c r="C15" s="16">
        <v>20.0</v>
      </c>
    </row>
    <row r="16">
      <c r="A16" s="16" t="s">
        <v>52</v>
      </c>
      <c r="B16" s="16">
        <v>8.0</v>
      </c>
      <c r="C16" s="16">
        <v>20.0</v>
      </c>
    </row>
    <row r="17">
      <c r="A17" s="16" t="s">
        <v>53</v>
      </c>
      <c r="B17" s="16">
        <v>7.6</v>
      </c>
      <c r="C17" s="16">
        <v>18.9</v>
      </c>
    </row>
    <row r="18">
      <c r="A18" s="16" t="s">
        <v>54</v>
      </c>
      <c r="B18" s="16">
        <v>8.0</v>
      </c>
      <c r="C18" s="16">
        <v>20.0</v>
      </c>
    </row>
    <row r="19">
      <c r="A19" s="16" t="s">
        <v>55</v>
      </c>
      <c r="B19" s="16">
        <v>7.5</v>
      </c>
      <c r="C19" s="16">
        <v>18.7</v>
      </c>
    </row>
    <row r="20">
      <c r="A20" s="16" t="s">
        <v>57</v>
      </c>
      <c r="B20" s="16">
        <v>6.7</v>
      </c>
      <c r="C20" s="16">
        <v>16.7</v>
      </c>
    </row>
    <row r="21">
      <c r="A21" s="16" t="s">
        <v>58</v>
      </c>
      <c r="B21" s="16">
        <v>8.0</v>
      </c>
      <c r="C21" s="16">
        <v>20.0</v>
      </c>
    </row>
    <row r="22">
      <c r="A22" s="16" t="s">
        <v>59</v>
      </c>
      <c r="B22" s="16">
        <v>8.0</v>
      </c>
      <c r="C22" s="16">
        <v>20.0</v>
      </c>
    </row>
    <row r="23">
      <c r="A23" s="16" t="s">
        <v>60</v>
      </c>
      <c r="B23" s="16">
        <v>7.4</v>
      </c>
      <c r="C23" s="16">
        <v>18.4</v>
      </c>
    </row>
    <row r="24">
      <c r="A24" s="16" t="s">
        <v>62</v>
      </c>
      <c r="B24" s="16">
        <v>7.9</v>
      </c>
      <c r="C24" s="16">
        <v>19.7</v>
      </c>
    </row>
    <row r="25">
      <c r="A25" s="16" t="s">
        <v>63</v>
      </c>
      <c r="B25" s="16">
        <v>7.0</v>
      </c>
      <c r="C25" s="16">
        <v>17.4</v>
      </c>
    </row>
    <row r="26">
      <c r="A26" s="16" t="s">
        <v>64</v>
      </c>
      <c r="B26" s="16">
        <v>4.1</v>
      </c>
      <c r="C26" s="16">
        <v>10.1</v>
      </c>
    </row>
    <row r="27">
      <c r="A27" s="16" t="s">
        <v>65</v>
      </c>
      <c r="B27" s="16">
        <v>8.0</v>
      </c>
      <c r="C27" s="16">
        <v>20.0</v>
      </c>
    </row>
    <row r="28">
      <c r="A28" s="16" t="s">
        <v>67</v>
      </c>
      <c r="B28" s="16">
        <v>6.8</v>
      </c>
      <c r="C28" s="16">
        <v>17.1</v>
      </c>
    </row>
    <row r="29">
      <c r="A29" s="16" t="s">
        <v>68</v>
      </c>
      <c r="B29" s="16">
        <v>6.2</v>
      </c>
      <c r="C29" s="16">
        <v>15.5</v>
      </c>
    </row>
    <row r="30">
      <c r="A30" s="16" t="s">
        <v>69</v>
      </c>
      <c r="B30" s="16">
        <v>7.9</v>
      </c>
      <c r="C30" s="16">
        <v>19.7</v>
      </c>
    </row>
    <row r="31">
      <c r="A31" s="16" t="s">
        <v>71</v>
      </c>
      <c r="B31" s="16">
        <v>8.0</v>
      </c>
      <c r="C31" s="16">
        <v>20.0</v>
      </c>
    </row>
    <row r="32">
      <c r="A32" s="16" t="s">
        <v>72</v>
      </c>
      <c r="B32" s="16">
        <v>7.2</v>
      </c>
      <c r="C32" s="16">
        <v>18.0</v>
      </c>
    </row>
    <row r="33">
      <c r="A33" s="16" t="s">
        <v>73</v>
      </c>
      <c r="B33" s="16">
        <v>6.6</v>
      </c>
      <c r="C33" s="16">
        <v>16.5</v>
      </c>
    </row>
    <row r="34">
      <c r="A34" s="16" t="s">
        <v>75</v>
      </c>
      <c r="B34" s="16">
        <v>5.1</v>
      </c>
      <c r="C34" s="16">
        <v>12.9</v>
      </c>
    </row>
    <row r="35">
      <c r="A35" s="16" t="s">
        <v>76</v>
      </c>
      <c r="B35" s="16">
        <v>8.0</v>
      </c>
      <c r="C35" s="16">
        <v>20.0</v>
      </c>
    </row>
    <row r="36">
      <c r="A36" s="16" t="s">
        <v>79</v>
      </c>
      <c r="B36" s="16">
        <v>6.3</v>
      </c>
      <c r="C36" s="16">
        <v>15.9</v>
      </c>
    </row>
    <row r="37">
      <c r="A37" s="16" t="s">
        <v>80</v>
      </c>
      <c r="B37" s="16">
        <v>8.0</v>
      </c>
      <c r="C37" s="16">
        <v>20.0</v>
      </c>
    </row>
    <row r="38">
      <c r="A38" s="16" t="s">
        <v>81</v>
      </c>
      <c r="B38" s="16">
        <v>7.9</v>
      </c>
      <c r="C38" s="16">
        <v>19.7</v>
      </c>
    </row>
    <row r="39">
      <c r="A39" s="16" t="s">
        <v>83</v>
      </c>
      <c r="B39" s="16">
        <v>8.0</v>
      </c>
      <c r="C39" s="16">
        <v>20.0</v>
      </c>
    </row>
    <row r="40">
      <c r="A40" s="16" t="s">
        <v>84</v>
      </c>
      <c r="B40" s="16">
        <v>6.9</v>
      </c>
      <c r="C40" s="16">
        <v>17.4</v>
      </c>
    </row>
    <row r="41">
      <c r="A41" s="16" t="s">
        <v>85</v>
      </c>
      <c r="B41" s="16">
        <v>8.0</v>
      </c>
      <c r="C41" s="16">
        <v>20.0</v>
      </c>
    </row>
    <row r="42">
      <c r="A42" s="16" t="s">
        <v>86</v>
      </c>
      <c r="B42" s="16">
        <v>8.0</v>
      </c>
      <c r="C42" s="16">
        <v>20.0</v>
      </c>
    </row>
    <row r="43">
      <c r="A43" s="16" t="s">
        <v>87</v>
      </c>
      <c r="B43" s="16">
        <v>2.4</v>
      </c>
      <c r="C43" s="16">
        <v>6.0</v>
      </c>
    </row>
    <row r="44">
      <c r="A44" s="16" t="s">
        <v>88</v>
      </c>
      <c r="B44" s="16">
        <v>8.0</v>
      </c>
      <c r="C44" s="16">
        <v>20.0</v>
      </c>
    </row>
    <row r="45">
      <c r="A45" s="16" t="s">
        <v>89</v>
      </c>
      <c r="B45" s="16">
        <v>5.1</v>
      </c>
      <c r="C45" s="16">
        <v>12.6</v>
      </c>
    </row>
    <row r="46">
      <c r="A46" s="16" t="s">
        <v>90</v>
      </c>
      <c r="B46" s="16">
        <v>8.0</v>
      </c>
      <c r="C46" s="16">
        <v>20.0</v>
      </c>
    </row>
    <row r="47">
      <c r="A47" s="16" t="s">
        <v>91</v>
      </c>
      <c r="B47" s="16">
        <v>6.2</v>
      </c>
      <c r="C47" s="16">
        <v>15.5</v>
      </c>
    </row>
    <row r="48">
      <c r="A48" s="16" t="s">
        <v>92</v>
      </c>
      <c r="B48" s="16">
        <v>6.8</v>
      </c>
      <c r="C48" s="16">
        <v>16.9</v>
      </c>
    </row>
    <row r="49">
      <c r="A49" s="16" t="s">
        <v>93</v>
      </c>
      <c r="B49" s="16">
        <v>6.2</v>
      </c>
      <c r="C49" s="16">
        <v>15.5</v>
      </c>
    </row>
    <row r="50">
      <c r="A50" s="16" t="s">
        <v>95</v>
      </c>
      <c r="B50" s="16">
        <v>7.3</v>
      </c>
      <c r="C50" s="16">
        <v>18.1</v>
      </c>
    </row>
    <row r="51">
      <c r="A51" s="16" t="s">
        <v>97</v>
      </c>
      <c r="B51" s="16">
        <v>7.5</v>
      </c>
      <c r="C51" s="16">
        <v>18.6</v>
      </c>
    </row>
    <row r="52">
      <c r="A52" s="16" t="s">
        <v>99</v>
      </c>
      <c r="B52" s="16">
        <v>8.0</v>
      </c>
      <c r="C52" s="16">
        <v>20.0</v>
      </c>
    </row>
    <row r="53">
      <c r="A53" s="16" t="s">
        <v>101</v>
      </c>
      <c r="B53" s="16">
        <v>7.4</v>
      </c>
      <c r="C53" s="16">
        <v>18.4</v>
      </c>
    </row>
    <row r="54">
      <c r="A54" s="16" t="s">
        <v>103</v>
      </c>
      <c r="B54" s="16">
        <v>6.4</v>
      </c>
      <c r="C54" s="16">
        <v>16.0</v>
      </c>
    </row>
    <row r="55">
      <c r="A55" s="16" t="s">
        <v>104</v>
      </c>
      <c r="B55" s="16">
        <v>8.0</v>
      </c>
      <c r="C55" s="16">
        <v>20.0</v>
      </c>
    </row>
    <row r="56">
      <c r="A56" s="16" t="s">
        <v>105</v>
      </c>
      <c r="B56" s="16">
        <v>7.0</v>
      </c>
      <c r="C56" s="16">
        <v>17.5</v>
      </c>
    </row>
    <row r="57">
      <c r="A57" s="16" t="s">
        <v>106</v>
      </c>
      <c r="B57" s="16">
        <v>8.0</v>
      </c>
      <c r="C57" s="16">
        <v>20.0</v>
      </c>
    </row>
    <row r="58">
      <c r="A58" s="16" t="s">
        <v>107</v>
      </c>
      <c r="B58" s="16">
        <v>8.0</v>
      </c>
      <c r="C58" s="16">
        <v>20.0</v>
      </c>
    </row>
    <row r="59">
      <c r="A59" s="16" t="s">
        <v>108</v>
      </c>
      <c r="B59" s="16">
        <v>8.0</v>
      </c>
      <c r="C59" s="16">
        <v>20.0</v>
      </c>
    </row>
    <row r="60">
      <c r="A60" s="16" t="s">
        <v>109</v>
      </c>
      <c r="B60" s="16">
        <v>8.0</v>
      </c>
      <c r="C60" s="16">
        <v>20.0</v>
      </c>
    </row>
    <row r="61">
      <c r="A61" s="16" t="s">
        <v>110</v>
      </c>
      <c r="B61" s="16">
        <v>7.8</v>
      </c>
      <c r="C61" s="16">
        <v>19.6</v>
      </c>
    </row>
    <row r="62">
      <c r="A62" s="16" t="s">
        <v>111</v>
      </c>
      <c r="B62" s="16">
        <v>7.9</v>
      </c>
      <c r="C62" s="16">
        <v>19.7</v>
      </c>
    </row>
    <row r="63">
      <c r="A63" s="16" t="s">
        <v>113</v>
      </c>
      <c r="B63" s="16">
        <v>8.0</v>
      </c>
      <c r="C63" s="16">
        <v>20.0</v>
      </c>
    </row>
    <row r="64">
      <c r="A64" s="16" t="s">
        <v>114</v>
      </c>
      <c r="B64" s="16">
        <v>6.9</v>
      </c>
      <c r="C64" s="16">
        <v>17.3</v>
      </c>
    </row>
    <row r="65">
      <c r="A65" s="16" t="s">
        <v>115</v>
      </c>
      <c r="B65" s="16">
        <v>8.0</v>
      </c>
      <c r="C65" s="16">
        <v>20.0</v>
      </c>
    </row>
    <row r="66">
      <c r="A66" s="16" t="s">
        <v>116</v>
      </c>
      <c r="B66" s="16">
        <v>2.1</v>
      </c>
      <c r="C66" s="16">
        <v>5.2</v>
      </c>
    </row>
    <row r="67">
      <c r="A67" s="16" t="s">
        <v>117</v>
      </c>
      <c r="B67" s="16">
        <v>7.4</v>
      </c>
      <c r="C67" s="16">
        <v>18.6</v>
      </c>
    </row>
    <row r="68">
      <c r="A68" s="16" t="s">
        <v>119</v>
      </c>
      <c r="B68" s="16">
        <v>8.0</v>
      </c>
      <c r="C68" s="16">
        <v>20.0</v>
      </c>
    </row>
    <row r="69">
      <c r="A69" s="16" t="s">
        <v>120</v>
      </c>
      <c r="B69" s="16">
        <v>2.4</v>
      </c>
      <c r="C69" s="16">
        <v>5.9</v>
      </c>
    </row>
    <row r="70">
      <c r="A70" s="16" t="s">
        <v>121</v>
      </c>
      <c r="B70" s="16">
        <v>7.3</v>
      </c>
      <c r="C70" s="16">
        <v>18.2</v>
      </c>
    </row>
    <row r="71">
      <c r="A71" s="16" t="s">
        <v>122</v>
      </c>
      <c r="B71" s="16">
        <v>8.0</v>
      </c>
      <c r="C71" s="16">
        <v>20.0</v>
      </c>
    </row>
    <row r="72">
      <c r="A72" s="16" t="s">
        <v>123</v>
      </c>
      <c r="B72" s="16">
        <v>5.7</v>
      </c>
      <c r="C72" s="16">
        <v>14.3</v>
      </c>
    </row>
    <row r="73">
      <c r="A73" s="16" t="s">
        <v>124</v>
      </c>
      <c r="B73" s="16">
        <v>5.9</v>
      </c>
      <c r="C73" s="16">
        <v>14.8</v>
      </c>
    </row>
    <row r="74">
      <c r="A74" s="16" t="s">
        <v>125</v>
      </c>
      <c r="B74" s="16">
        <v>5.0</v>
      </c>
      <c r="C74" s="16">
        <v>12.6</v>
      </c>
    </row>
    <row r="75">
      <c r="A75" s="16" t="s">
        <v>126</v>
      </c>
      <c r="B75" s="16">
        <v>4.9</v>
      </c>
      <c r="C75" s="16">
        <v>12.4</v>
      </c>
    </row>
    <row r="76">
      <c r="A76" s="16" t="s">
        <v>127</v>
      </c>
      <c r="B76" s="16">
        <v>8.0</v>
      </c>
      <c r="C76" s="16">
        <v>20.0</v>
      </c>
    </row>
    <row r="77">
      <c r="A77" s="16" t="s">
        <v>128</v>
      </c>
      <c r="B77" s="16">
        <v>8.0</v>
      </c>
      <c r="C77" s="16">
        <v>20.0</v>
      </c>
    </row>
    <row r="78">
      <c r="A78" s="16" t="s">
        <v>129</v>
      </c>
      <c r="B78" s="16">
        <v>5.5</v>
      </c>
      <c r="C78" s="16">
        <v>13.6</v>
      </c>
    </row>
    <row r="79">
      <c r="A79" s="16" t="s">
        <v>130</v>
      </c>
      <c r="B79" s="16">
        <v>6.9</v>
      </c>
      <c r="C79" s="16">
        <v>17.2</v>
      </c>
    </row>
    <row r="80">
      <c r="A80" s="16" t="s">
        <v>131</v>
      </c>
      <c r="B80" s="16">
        <v>6.3</v>
      </c>
      <c r="C80" s="16">
        <v>15.9</v>
      </c>
    </row>
    <row r="81">
      <c r="A81" s="16" t="s">
        <v>132</v>
      </c>
      <c r="B81" s="16">
        <v>4.8</v>
      </c>
      <c r="C81" s="16">
        <v>11.9</v>
      </c>
    </row>
    <row r="82">
      <c r="A82" s="16" t="s">
        <v>133</v>
      </c>
      <c r="B82" s="16">
        <v>8.0</v>
      </c>
      <c r="C82" s="16">
        <v>20.0</v>
      </c>
    </row>
    <row r="83">
      <c r="A83" s="16" t="s">
        <v>134</v>
      </c>
      <c r="B83" s="16">
        <v>6.4</v>
      </c>
      <c r="C83" s="16">
        <v>16.0</v>
      </c>
    </row>
    <row r="84">
      <c r="A84" s="16" t="s">
        <v>135</v>
      </c>
      <c r="B84" s="16">
        <v>6.8</v>
      </c>
      <c r="C84" s="16">
        <v>16.9</v>
      </c>
    </row>
    <row r="85">
      <c r="A85" s="16" t="s">
        <v>136</v>
      </c>
      <c r="B85" s="16">
        <v>8.0</v>
      </c>
      <c r="C85" s="16">
        <v>20.0</v>
      </c>
    </row>
    <row r="86">
      <c r="A86" s="16" t="s">
        <v>137</v>
      </c>
      <c r="B86" s="16">
        <v>8.0</v>
      </c>
      <c r="C86" s="16">
        <v>20.0</v>
      </c>
    </row>
    <row r="87">
      <c r="A87" s="16" t="s">
        <v>138</v>
      </c>
      <c r="B87" s="16">
        <v>7.3</v>
      </c>
      <c r="C87" s="16">
        <v>18.4</v>
      </c>
    </row>
    <row r="88">
      <c r="A88" s="16" t="s">
        <v>139</v>
      </c>
      <c r="B88" s="16">
        <v>6.2</v>
      </c>
      <c r="C88" s="16">
        <v>15.4</v>
      </c>
    </row>
    <row r="89">
      <c r="A89" s="16" t="s">
        <v>140</v>
      </c>
      <c r="B89" s="16">
        <v>6.5</v>
      </c>
      <c r="C89" s="16">
        <v>16.4</v>
      </c>
    </row>
    <row r="90">
      <c r="A90" s="16" t="s">
        <v>141</v>
      </c>
      <c r="B90" s="16">
        <v>8.0</v>
      </c>
      <c r="C90" s="16">
        <v>20.0</v>
      </c>
    </row>
    <row r="91">
      <c r="A91" s="16" t="s">
        <v>142</v>
      </c>
      <c r="B91" s="16">
        <v>7.2</v>
      </c>
      <c r="C91" s="16">
        <v>18.1</v>
      </c>
    </row>
    <row r="92">
      <c r="A92" s="16" t="s">
        <v>143</v>
      </c>
      <c r="B92" s="16">
        <v>8.0</v>
      </c>
      <c r="C92" s="16">
        <v>20.0</v>
      </c>
    </row>
    <row r="93">
      <c r="A93" s="16" t="s">
        <v>144</v>
      </c>
      <c r="B93" s="16">
        <v>7.9</v>
      </c>
      <c r="C93" s="16">
        <v>19.8</v>
      </c>
    </row>
    <row r="94">
      <c r="A94" s="16" t="s">
        <v>145</v>
      </c>
      <c r="B94" s="16">
        <v>8.0</v>
      </c>
      <c r="C94" s="16">
        <v>20.0</v>
      </c>
    </row>
    <row r="95">
      <c r="A95" s="16" t="s">
        <v>146</v>
      </c>
      <c r="B95" s="16">
        <v>8.0</v>
      </c>
      <c r="C95" s="16">
        <v>20.0</v>
      </c>
    </row>
    <row r="96">
      <c r="A96" s="16" t="s">
        <v>148</v>
      </c>
      <c r="B96" s="16">
        <v>5.2</v>
      </c>
      <c r="C96" s="16">
        <v>12.9</v>
      </c>
    </row>
    <row r="97">
      <c r="A97" s="16" t="s">
        <v>149</v>
      </c>
      <c r="B97" s="16">
        <v>8.0</v>
      </c>
      <c r="C97" s="16">
        <v>20.0</v>
      </c>
    </row>
    <row r="98">
      <c r="A98" s="16" t="s">
        <v>150</v>
      </c>
      <c r="B98" s="16">
        <v>7.0</v>
      </c>
      <c r="C98" s="16">
        <v>17.6</v>
      </c>
    </row>
    <row r="99">
      <c r="A99" s="16" t="s">
        <v>151</v>
      </c>
      <c r="B99" s="16">
        <v>6.4</v>
      </c>
      <c r="C99" s="16">
        <v>15.9</v>
      </c>
    </row>
    <row r="100">
      <c r="A100" s="16" t="s">
        <v>152</v>
      </c>
      <c r="B100" s="16">
        <v>5.1</v>
      </c>
      <c r="C100" s="16">
        <v>12.8</v>
      </c>
    </row>
    <row r="101">
      <c r="A101" s="16" t="s">
        <v>153</v>
      </c>
      <c r="B101" s="16">
        <v>4.2</v>
      </c>
      <c r="C101" s="16">
        <v>10.5</v>
      </c>
    </row>
    <row r="102">
      <c r="A102" s="16" t="s">
        <v>154</v>
      </c>
      <c r="B102" s="16">
        <v>8.0</v>
      </c>
      <c r="C102" s="16">
        <v>20.0</v>
      </c>
    </row>
    <row r="103">
      <c r="A103" s="16" t="s">
        <v>155</v>
      </c>
      <c r="B103" s="16">
        <v>8.0</v>
      </c>
      <c r="C103" s="16">
        <v>20.0</v>
      </c>
    </row>
    <row r="104">
      <c r="A104" s="16" t="s">
        <v>156</v>
      </c>
      <c r="B104" s="16">
        <v>5.8</v>
      </c>
      <c r="C104" s="16">
        <v>14.5</v>
      </c>
    </row>
    <row r="105">
      <c r="A105" s="16" t="s">
        <v>157</v>
      </c>
      <c r="B105" s="16">
        <v>8.0</v>
      </c>
      <c r="C105" s="16">
        <v>20.0</v>
      </c>
    </row>
    <row r="106">
      <c r="A106" s="16" t="s">
        <v>158</v>
      </c>
      <c r="B106" s="16">
        <v>7.4</v>
      </c>
      <c r="C106" s="16">
        <v>18.5</v>
      </c>
    </row>
    <row r="107">
      <c r="A107" s="16" t="s">
        <v>159</v>
      </c>
      <c r="B107" s="16">
        <v>7.9</v>
      </c>
      <c r="C107" s="16">
        <v>19.8</v>
      </c>
    </row>
    <row r="108">
      <c r="A108" s="16" t="s">
        <v>160</v>
      </c>
      <c r="B108" s="16">
        <v>6.6</v>
      </c>
      <c r="C108" s="16">
        <v>16.6</v>
      </c>
    </row>
    <row r="109">
      <c r="A109" s="16" t="s">
        <v>161</v>
      </c>
      <c r="B109" s="16">
        <v>4.8</v>
      </c>
      <c r="C109" s="16">
        <v>12.1</v>
      </c>
    </row>
    <row r="110">
      <c r="A110" s="16" t="s">
        <v>162</v>
      </c>
      <c r="B110" s="16">
        <v>8.0</v>
      </c>
      <c r="C110" s="16">
        <v>20.0</v>
      </c>
    </row>
    <row r="111">
      <c r="A111" s="16" t="s">
        <v>163</v>
      </c>
      <c r="B111" s="16">
        <v>7.9</v>
      </c>
      <c r="C111" s="16">
        <v>19.8</v>
      </c>
    </row>
    <row r="112">
      <c r="A112" s="16" t="s">
        <v>164</v>
      </c>
      <c r="B112" s="16">
        <v>8.0</v>
      </c>
      <c r="C112" s="16">
        <v>20.0</v>
      </c>
    </row>
    <row r="113">
      <c r="A113" s="16" t="s">
        <v>165</v>
      </c>
      <c r="B113" s="16">
        <v>7.6</v>
      </c>
      <c r="C113" s="16">
        <v>19.1</v>
      </c>
    </row>
    <row r="114">
      <c r="A114" s="16" t="s">
        <v>166</v>
      </c>
      <c r="B114" s="16">
        <v>8.0</v>
      </c>
      <c r="C114" s="16">
        <v>20.0</v>
      </c>
    </row>
    <row r="115">
      <c r="A115" s="16" t="s">
        <v>167</v>
      </c>
      <c r="B115" s="16">
        <v>8.0</v>
      </c>
      <c r="C115" s="16">
        <v>20.0</v>
      </c>
    </row>
    <row r="116">
      <c r="A116" s="16" t="s">
        <v>168</v>
      </c>
      <c r="B116" s="16">
        <v>8.0</v>
      </c>
      <c r="C116" s="16">
        <v>20.0</v>
      </c>
    </row>
    <row r="117">
      <c r="A117" s="16" t="s">
        <v>169</v>
      </c>
      <c r="B117" s="16">
        <v>3.9</v>
      </c>
      <c r="C117" s="16">
        <v>9.6</v>
      </c>
    </row>
    <row r="118">
      <c r="A118" s="16" t="s">
        <v>170</v>
      </c>
      <c r="B118" s="16">
        <v>7.8</v>
      </c>
      <c r="C118" s="16">
        <v>19.5</v>
      </c>
    </row>
    <row r="119">
      <c r="A119" s="16" t="s">
        <v>171</v>
      </c>
      <c r="B119" s="16">
        <v>8.0</v>
      </c>
      <c r="C119" s="16">
        <v>20.0</v>
      </c>
    </row>
    <row r="120">
      <c r="A120" s="16" t="s">
        <v>172</v>
      </c>
      <c r="B120" s="16">
        <v>6.0</v>
      </c>
      <c r="C120" s="16">
        <v>15.1</v>
      </c>
    </row>
    <row r="121">
      <c r="A121" s="16" t="s">
        <v>173</v>
      </c>
      <c r="B121" s="16">
        <v>5.9</v>
      </c>
      <c r="C121" s="16">
        <v>14.9</v>
      </c>
    </row>
    <row r="122">
      <c r="A122" s="16" t="s">
        <v>174</v>
      </c>
      <c r="B122" s="16">
        <v>8.0</v>
      </c>
      <c r="C122" s="16">
        <v>20.0</v>
      </c>
    </row>
    <row r="123">
      <c r="A123" s="16" t="s">
        <v>175</v>
      </c>
      <c r="B123" s="16">
        <v>8.0</v>
      </c>
      <c r="C123" s="16">
        <v>20.0</v>
      </c>
    </row>
    <row r="124">
      <c r="A124" s="16" t="s">
        <v>176</v>
      </c>
      <c r="B124" s="16">
        <v>8.0</v>
      </c>
      <c r="C124" s="16">
        <v>20.0</v>
      </c>
    </row>
    <row r="125">
      <c r="A125" s="16" t="s">
        <v>177</v>
      </c>
      <c r="B125" s="16">
        <v>6.5</v>
      </c>
      <c r="C125" s="16">
        <v>16.1</v>
      </c>
    </row>
    <row r="126">
      <c r="A126" s="16" t="s">
        <v>178</v>
      </c>
      <c r="B126" s="16">
        <v>6.4</v>
      </c>
      <c r="C126" s="16">
        <v>16.1</v>
      </c>
    </row>
    <row r="127">
      <c r="A127" s="16" t="s">
        <v>179</v>
      </c>
      <c r="B127" s="16">
        <v>8.0</v>
      </c>
      <c r="C127" s="16">
        <v>20.0</v>
      </c>
    </row>
    <row r="128">
      <c r="A128" s="16" t="s">
        <v>180</v>
      </c>
      <c r="B128" s="16">
        <v>7.1</v>
      </c>
      <c r="C128" s="16">
        <v>17.7</v>
      </c>
    </row>
    <row r="129">
      <c r="A129" s="16" t="s">
        <v>181</v>
      </c>
      <c r="B129" s="16">
        <v>8.0</v>
      </c>
      <c r="C129" s="16">
        <v>20.0</v>
      </c>
    </row>
    <row r="130">
      <c r="A130" s="16" t="s">
        <v>182</v>
      </c>
      <c r="B130" s="16">
        <v>6.6</v>
      </c>
      <c r="C130" s="16">
        <v>16.4</v>
      </c>
    </row>
    <row r="131">
      <c r="A131" s="16" t="s">
        <v>183</v>
      </c>
      <c r="B131" s="16">
        <v>8.0</v>
      </c>
      <c r="C131" s="16">
        <v>20.0</v>
      </c>
    </row>
    <row r="132">
      <c r="A132" s="16" t="s">
        <v>184</v>
      </c>
      <c r="B132" s="16">
        <v>3.3</v>
      </c>
      <c r="C132" s="16">
        <v>8.1</v>
      </c>
    </row>
    <row r="133">
      <c r="A133" s="16" t="s">
        <v>185</v>
      </c>
      <c r="B133" s="16">
        <v>3.2</v>
      </c>
      <c r="C133" s="16">
        <v>8.0</v>
      </c>
    </row>
    <row r="134">
      <c r="A134" s="16" t="s">
        <v>186</v>
      </c>
      <c r="B134" s="16">
        <v>7.2</v>
      </c>
      <c r="C134" s="16">
        <v>18.1</v>
      </c>
    </row>
    <row r="135">
      <c r="A135" s="16" t="s">
        <v>187</v>
      </c>
      <c r="B135" s="16">
        <v>6.6</v>
      </c>
      <c r="C135" s="16">
        <v>16.5</v>
      </c>
    </row>
    <row r="136">
      <c r="A136" s="16" t="s">
        <v>188</v>
      </c>
      <c r="B136" s="16">
        <v>8.0</v>
      </c>
      <c r="C136" s="16">
        <v>20.0</v>
      </c>
    </row>
    <row r="137">
      <c r="A137" s="16" t="s">
        <v>189</v>
      </c>
      <c r="B137" s="16">
        <v>8.0</v>
      </c>
      <c r="C137" s="16">
        <v>20.0</v>
      </c>
    </row>
    <row r="138">
      <c r="A138" s="16" t="s">
        <v>190</v>
      </c>
      <c r="B138" s="16">
        <v>8.0</v>
      </c>
      <c r="C138" s="16">
        <v>20.0</v>
      </c>
    </row>
    <row r="139">
      <c r="A139" s="16" t="s">
        <v>191</v>
      </c>
      <c r="B139" s="16">
        <v>7.9</v>
      </c>
      <c r="C139" s="16">
        <v>19.8</v>
      </c>
    </row>
    <row r="140">
      <c r="A140" s="16" t="s">
        <v>192</v>
      </c>
      <c r="B140" s="16">
        <v>8.0</v>
      </c>
      <c r="C140" s="16">
        <v>20.0</v>
      </c>
    </row>
    <row r="141">
      <c r="A141" s="16" t="s">
        <v>193</v>
      </c>
      <c r="B141" s="16">
        <v>6.3</v>
      </c>
      <c r="C141" s="16">
        <v>15.8</v>
      </c>
    </row>
    <row r="142">
      <c r="A142" s="16" t="s">
        <v>194</v>
      </c>
      <c r="B142" s="16">
        <v>8.0</v>
      </c>
      <c r="C142" s="16">
        <v>20.0</v>
      </c>
    </row>
    <row r="143">
      <c r="A143" s="16" t="s">
        <v>195</v>
      </c>
      <c r="B143" s="16">
        <v>4.1</v>
      </c>
      <c r="C143" s="16">
        <v>10.3</v>
      </c>
    </row>
    <row r="144">
      <c r="A144" s="16" t="s">
        <v>196</v>
      </c>
      <c r="B144" s="16">
        <v>7.7</v>
      </c>
      <c r="C144" s="16">
        <v>19.2</v>
      </c>
    </row>
    <row r="145">
      <c r="A145" s="16" t="s">
        <v>197</v>
      </c>
      <c r="B145" s="16">
        <v>6.5</v>
      </c>
      <c r="C145" s="16">
        <v>16.3</v>
      </c>
    </row>
    <row r="146">
      <c r="A146" s="16" t="s">
        <v>198</v>
      </c>
      <c r="B146" s="16">
        <v>8.0</v>
      </c>
      <c r="C146" s="16">
        <v>20.0</v>
      </c>
    </row>
    <row r="147">
      <c r="A147" s="16" t="s">
        <v>199</v>
      </c>
      <c r="B147" s="16">
        <v>6.7</v>
      </c>
      <c r="C147" s="16">
        <v>16.8</v>
      </c>
    </row>
    <row r="148">
      <c r="A148" s="16" t="s">
        <v>200</v>
      </c>
      <c r="B148" s="16">
        <v>8.0</v>
      </c>
      <c r="C148" s="16">
        <v>20.0</v>
      </c>
    </row>
    <row r="149">
      <c r="A149" s="16" t="s">
        <v>201</v>
      </c>
      <c r="B149" s="16">
        <v>8.0</v>
      </c>
      <c r="C149" s="16">
        <v>20.0</v>
      </c>
    </row>
    <row r="150">
      <c r="A150" s="16" t="s">
        <v>202</v>
      </c>
      <c r="B150" s="16">
        <v>2.3</v>
      </c>
      <c r="C150" s="16">
        <v>5.8</v>
      </c>
    </row>
    <row r="151">
      <c r="A151" s="16" t="s">
        <v>203</v>
      </c>
      <c r="B151" s="16">
        <v>2.9</v>
      </c>
      <c r="C151" s="16">
        <v>7.3</v>
      </c>
    </row>
    <row r="152">
      <c r="A152" s="16"/>
      <c r="B152" s="16"/>
      <c r="C152" s="16"/>
    </row>
    <row r="153">
      <c r="A153" s="16"/>
      <c r="B153" s="16"/>
      <c r="C153" s="16"/>
    </row>
    <row r="154">
      <c r="A154" s="16"/>
      <c r="B154" s="16"/>
      <c r="C154" s="16"/>
    </row>
    <row r="155">
      <c r="A155" s="34"/>
      <c r="B155" s="35" t="s">
        <v>9</v>
      </c>
      <c r="C155" s="36" t="s">
        <v>204</v>
      </c>
      <c r="D155" s="37"/>
    </row>
    <row r="156">
      <c r="A156" s="16" t="s">
        <v>205</v>
      </c>
      <c r="B156" s="26">
        <v>3.0</v>
      </c>
      <c r="C156" s="26">
        <v>7.5</v>
      </c>
    </row>
    <row r="157">
      <c r="A157" s="16" t="s">
        <v>206</v>
      </c>
      <c r="B157" s="26">
        <v>3.0</v>
      </c>
      <c r="C157" s="26">
        <v>7.5</v>
      </c>
    </row>
    <row r="158">
      <c r="A158" s="16" t="s">
        <v>207</v>
      </c>
      <c r="B158" s="26">
        <v>3.0</v>
      </c>
      <c r="C158" s="26">
        <v>7.5</v>
      </c>
    </row>
    <row r="159">
      <c r="A159" s="16" t="s">
        <v>208</v>
      </c>
      <c r="B159" s="26">
        <v>3.0</v>
      </c>
      <c r="C159" s="26">
        <v>7.5</v>
      </c>
    </row>
    <row r="160">
      <c r="A160" s="16" t="s">
        <v>209</v>
      </c>
      <c r="B160" s="26">
        <v>3.0</v>
      </c>
      <c r="C160" s="26">
        <v>7.5</v>
      </c>
    </row>
    <row r="161">
      <c r="A161" s="16" t="s">
        <v>210</v>
      </c>
      <c r="B161" s="26">
        <v>3.0</v>
      </c>
      <c r="C161" s="26">
        <v>7.5</v>
      </c>
    </row>
    <row r="162">
      <c r="A162" s="16" t="s">
        <v>211</v>
      </c>
      <c r="B162" s="26">
        <v>3.0</v>
      </c>
      <c r="C162" s="26">
        <v>7.5</v>
      </c>
    </row>
    <row r="163">
      <c r="A163" s="16" t="s">
        <v>212</v>
      </c>
      <c r="B163" s="26">
        <v>3.0</v>
      </c>
      <c r="C163" s="26">
        <v>7.5</v>
      </c>
    </row>
    <row r="164">
      <c r="A164" s="16" t="s">
        <v>213</v>
      </c>
      <c r="B164" s="26">
        <v>3.0</v>
      </c>
      <c r="C164" s="26">
        <v>7.5</v>
      </c>
    </row>
    <row r="165">
      <c r="A165" s="16" t="s">
        <v>214</v>
      </c>
      <c r="B165" s="26">
        <v>3.0</v>
      </c>
      <c r="C165" s="26">
        <v>7.5</v>
      </c>
    </row>
    <row r="166">
      <c r="A166" s="16" t="s">
        <v>215</v>
      </c>
      <c r="B166" s="26">
        <v>3.0</v>
      </c>
      <c r="C166" s="26">
        <v>7.5</v>
      </c>
    </row>
    <row r="167">
      <c r="A167" s="16" t="s">
        <v>216</v>
      </c>
      <c r="B167" s="26">
        <v>3.0</v>
      </c>
      <c r="C167" s="26">
        <v>7.5</v>
      </c>
    </row>
    <row r="168">
      <c r="A168" s="16" t="s">
        <v>217</v>
      </c>
      <c r="B168" s="26">
        <v>3.0</v>
      </c>
      <c r="C168" s="26">
        <v>7.5</v>
      </c>
    </row>
    <row r="169">
      <c r="A169" s="16" t="s">
        <v>218</v>
      </c>
      <c r="B169" s="26">
        <v>3.0</v>
      </c>
      <c r="C169" s="26">
        <v>7.5</v>
      </c>
    </row>
    <row r="170">
      <c r="A170" s="16" t="s">
        <v>219</v>
      </c>
      <c r="B170" s="26">
        <v>3.0</v>
      </c>
      <c r="C170" s="26">
        <v>7.5</v>
      </c>
    </row>
    <row r="171">
      <c r="A171" s="16" t="s">
        <v>220</v>
      </c>
      <c r="B171" s="26">
        <v>3.0</v>
      </c>
      <c r="C171" s="26">
        <v>7.5</v>
      </c>
    </row>
    <row r="172">
      <c r="A172" s="16" t="s">
        <v>221</v>
      </c>
      <c r="B172" s="26">
        <v>3.0</v>
      </c>
      <c r="C172" s="26">
        <v>7.5</v>
      </c>
    </row>
    <row r="173">
      <c r="A173" s="16" t="s">
        <v>222</v>
      </c>
      <c r="B173" s="26">
        <v>3.0</v>
      </c>
      <c r="C173" s="26">
        <v>7.5</v>
      </c>
    </row>
    <row r="174">
      <c r="A174" s="16" t="s">
        <v>223</v>
      </c>
      <c r="B174" s="26">
        <v>3.0</v>
      </c>
      <c r="C174" s="26">
        <v>7.5</v>
      </c>
    </row>
    <row r="175">
      <c r="A175" s="16" t="s">
        <v>224</v>
      </c>
      <c r="B175" s="26">
        <v>3.0</v>
      </c>
      <c r="C175" s="26">
        <v>7.5</v>
      </c>
    </row>
    <row r="176">
      <c r="A176" s="16" t="s">
        <v>225</v>
      </c>
      <c r="B176" s="26">
        <v>3.0</v>
      </c>
      <c r="C176" s="26">
        <v>7.5</v>
      </c>
    </row>
    <row r="177">
      <c r="A177" s="16" t="s">
        <v>226</v>
      </c>
      <c r="B177" s="26">
        <v>3.0</v>
      </c>
      <c r="C177" s="26">
        <v>7.5</v>
      </c>
    </row>
    <row r="178">
      <c r="A178" s="16" t="s">
        <v>227</v>
      </c>
      <c r="B178" s="26">
        <v>3.0</v>
      </c>
      <c r="C178" s="26">
        <v>7.5</v>
      </c>
    </row>
    <row r="179">
      <c r="A179" s="16" t="s">
        <v>228</v>
      </c>
      <c r="B179" s="26">
        <v>3.0</v>
      </c>
      <c r="C179" s="26">
        <v>7.5</v>
      </c>
    </row>
    <row r="180">
      <c r="A180" s="16" t="s">
        <v>229</v>
      </c>
      <c r="B180" s="26">
        <v>3.0</v>
      </c>
      <c r="C180" s="26">
        <v>7.5</v>
      </c>
    </row>
    <row r="181">
      <c r="A181" s="16" t="s">
        <v>230</v>
      </c>
      <c r="B181" s="26">
        <v>3.0</v>
      </c>
      <c r="C181" s="26">
        <v>7.5</v>
      </c>
    </row>
    <row r="182">
      <c r="A182" s="16" t="s">
        <v>231</v>
      </c>
      <c r="B182" s="26">
        <v>3.0</v>
      </c>
      <c r="C182" s="26">
        <v>7.5</v>
      </c>
    </row>
    <row r="183">
      <c r="A183" s="16" t="s">
        <v>232</v>
      </c>
      <c r="B183" s="26">
        <v>3.0</v>
      </c>
      <c r="C183" s="26">
        <v>7.5</v>
      </c>
    </row>
    <row r="184">
      <c r="A184" s="16" t="s">
        <v>233</v>
      </c>
      <c r="B184" s="26">
        <v>3.0</v>
      </c>
      <c r="C184" s="26">
        <v>7.5</v>
      </c>
    </row>
    <row r="185">
      <c r="A185" s="16" t="s">
        <v>234</v>
      </c>
      <c r="B185" s="26">
        <v>3.0</v>
      </c>
      <c r="C185" s="26">
        <v>7.5</v>
      </c>
    </row>
    <row r="186">
      <c r="A186" s="16" t="s">
        <v>235</v>
      </c>
      <c r="B186" s="26">
        <v>3.0</v>
      </c>
      <c r="C186" s="26">
        <v>7.5</v>
      </c>
    </row>
    <row r="187">
      <c r="A187" s="16" t="s">
        <v>236</v>
      </c>
      <c r="B187" s="26">
        <v>3.0</v>
      </c>
      <c r="C187" s="26">
        <v>7.5</v>
      </c>
    </row>
    <row r="188">
      <c r="A188" s="16" t="s">
        <v>237</v>
      </c>
      <c r="B188" s="26">
        <v>3.0</v>
      </c>
      <c r="C188" s="26">
        <v>7.5</v>
      </c>
    </row>
    <row r="189">
      <c r="A189" s="16" t="s">
        <v>238</v>
      </c>
      <c r="B189" s="26">
        <v>3.0</v>
      </c>
      <c r="C189" s="26">
        <v>7.5</v>
      </c>
    </row>
    <row r="190">
      <c r="A190" s="16" t="s">
        <v>239</v>
      </c>
      <c r="B190" s="26">
        <v>3.0</v>
      </c>
      <c r="C190" s="26">
        <v>7.5</v>
      </c>
    </row>
    <row r="191">
      <c r="A191" s="16" t="s">
        <v>240</v>
      </c>
      <c r="B191" s="26">
        <v>3.0</v>
      </c>
      <c r="C191" s="26">
        <v>7.5</v>
      </c>
    </row>
    <row r="192">
      <c r="A192" s="16" t="s">
        <v>241</v>
      </c>
      <c r="B192" s="26">
        <v>3.0</v>
      </c>
      <c r="C192" s="26">
        <v>7.5</v>
      </c>
    </row>
    <row r="193">
      <c r="A193" s="16" t="s">
        <v>242</v>
      </c>
      <c r="B193" s="26">
        <v>3.0</v>
      </c>
      <c r="C193" s="26">
        <v>7.5</v>
      </c>
    </row>
    <row r="194">
      <c r="A194" s="16" t="s">
        <v>243</v>
      </c>
      <c r="B194" s="26">
        <v>3.0</v>
      </c>
      <c r="C194" s="26">
        <v>7.5</v>
      </c>
    </row>
    <row r="195">
      <c r="A195" s="16" t="s">
        <v>244</v>
      </c>
      <c r="B195" s="26">
        <v>3.0</v>
      </c>
      <c r="C195" s="26">
        <v>7.5</v>
      </c>
    </row>
    <row r="196">
      <c r="A196" s="16" t="s">
        <v>245</v>
      </c>
      <c r="B196" s="26">
        <v>3.0</v>
      </c>
      <c r="C196" s="26">
        <v>7.5</v>
      </c>
    </row>
    <row r="197">
      <c r="A197" s="16" t="s">
        <v>246</v>
      </c>
      <c r="B197" s="26">
        <v>3.0</v>
      </c>
      <c r="C197" s="26">
        <v>7.5</v>
      </c>
    </row>
    <row r="198">
      <c r="A198" s="16" t="s">
        <v>247</v>
      </c>
      <c r="B198" s="26">
        <v>3.0</v>
      </c>
      <c r="C198" s="26">
        <v>7.5</v>
      </c>
    </row>
    <row r="199">
      <c r="A199" s="16" t="s">
        <v>248</v>
      </c>
      <c r="B199" s="26">
        <v>3.0</v>
      </c>
      <c r="C199" s="26">
        <v>7.5</v>
      </c>
    </row>
    <row r="200">
      <c r="A200" s="16" t="s">
        <v>249</v>
      </c>
      <c r="B200" s="26">
        <v>3.0</v>
      </c>
      <c r="C200" s="26">
        <v>7.5</v>
      </c>
    </row>
    <row r="201">
      <c r="A201" s="16" t="s">
        <v>250</v>
      </c>
      <c r="B201" s="26">
        <v>3.0</v>
      </c>
      <c r="C201" s="26">
        <v>7.5</v>
      </c>
    </row>
    <row r="202">
      <c r="A202" s="16" t="s">
        <v>251</v>
      </c>
      <c r="B202" s="26">
        <v>3.0</v>
      </c>
      <c r="C202" s="26">
        <v>7.5</v>
      </c>
    </row>
    <row r="203">
      <c r="A203" s="16" t="s">
        <v>252</v>
      </c>
      <c r="B203" s="26">
        <v>3.0</v>
      </c>
      <c r="C203" s="26">
        <v>7.5</v>
      </c>
    </row>
    <row r="204">
      <c r="A204" s="16" t="s">
        <v>253</v>
      </c>
      <c r="B204" s="26">
        <v>3.0</v>
      </c>
      <c r="C204" s="26">
        <v>7.5</v>
      </c>
    </row>
    <row r="205">
      <c r="A205" s="16" t="s">
        <v>254</v>
      </c>
      <c r="B205" s="26">
        <v>3.0</v>
      </c>
      <c r="C205" s="26">
        <v>7.5</v>
      </c>
    </row>
    <row r="206">
      <c r="A206" s="16" t="s">
        <v>255</v>
      </c>
      <c r="B206" s="26">
        <v>3.0</v>
      </c>
      <c r="C206" s="26">
        <v>7.5</v>
      </c>
    </row>
    <row r="207">
      <c r="A207" s="16" t="s">
        <v>256</v>
      </c>
      <c r="B207" s="26">
        <v>3.0</v>
      </c>
      <c r="C207" s="26">
        <v>7.5</v>
      </c>
    </row>
    <row r="208">
      <c r="A208" s="16" t="s">
        <v>257</v>
      </c>
      <c r="B208" s="26">
        <v>3.0</v>
      </c>
      <c r="C208" s="26">
        <v>7.5</v>
      </c>
    </row>
    <row r="209">
      <c r="A209" s="16" t="s">
        <v>258</v>
      </c>
      <c r="B209" s="26">
        <v>3.0</v>
      </c>
      <c r="C209" s="26">
        <v>7.5</v>
      </c>
    </row>
    <row r="210">
      <c r="A210" s="16" t="s">
        <v>259</v>
      </c>
      <c r="B210" s="26">
        <v>3.0</v>
      </c>
      <c r="C210" s="26">
        <v>7.5</v>
      </c>
    </row>
    <row r="211">
      <c r="A211" s="16" t="s">
        <v>260</v>
      </c>
      <c r="B211" s="26">
        <v>3.0</v>
      </c>
      <c r="C211" s="26">
        <v>7.5</v>
      </c>
    </row>
    <row r="212">
      <c r="A212" s="16" t="s">
        <v>261</v>
      </c>
      <c r="B212" s="26">
        <v>3.0</v>
      </c>
      <c r="C212" s="26">
        <v>7.5</v>
      </c>
    </row>
    <row r="213">
      <c r="A213" s="16" t="s">
        <v>262</v>
      </c>
      <c r="B213" s="26">
        <v>3.0</v>
      </c>
      <c r="C213" s="26">
        <v>7.5</v>
      </c>
    </row>
    <row r="214">
      <c r="A214" s="16" t="s">
        <v>263</v>
      </c>
      <c r="B214" s="26">
        <v>3.0</v>
      </c>
      <c r="C214" s="26">
        <v>7.5</v>
      </c>
    </row>
    <row r="215">
      <c r="A215" s="16" t="s">
        <v>264</v>
      </c>
      <c r="B215" s="26">
        <v>3.0</v>
      </c>
      <c r="C215" s="26">
        <v>7.5</v>
      </c>
    </row>
    <row r="216">
      <c r="A216" s="16" t="s">
        <v>265</v>
      </c>
      <c r="B216" s="26">
        <v>3.0</v>
      </c>
      <c r="C216" s="26">
        <v>7.5</v>
      </c>
    </row>
    <row r="217">
      <c r="A217" s="16" t="s">
        <v>266</v>
      </c>
      <c r="B217" s="26">
        <v>3.0</v>
      </c>
      <c r="C217" s="26">
        <v>7.5</v>
      </c>
    </row>
    <row r="218">
      <c r="A218" s="16" t="s">
        <v>267</v>
      </c>
      <c r="B218" s="26">
        <v>3.0</v>
      </c>
      <c r="C218" s="26">
        <v>7.5</v>
      </c>
    </row>
    <row r="219">
      <c r="A219" s="16" t="s">
        <v>268</v>
      </c>
      <c r="B219" s="26">
        <v>3.0</v>
      </c>
      <c r="C219" s="26">
        <v>7.5</v>
      </c>
    </row>
    <row r="220">
      <c r="A220" s="16" t="s">
        <v>269</v>
      </c>
      <c r="B220" s="26">
        <v>3.0</v>
      </c>
      <c r="C220" s="26">
        <v>7.5</v>
      </c>
    </row>
    <row r="221">
      <c r="A221" s="16" t="s">
        <v>270</v>
      </c>
      <c r="B221" s="26">
        <v>3.0</v>
      </c>
      <c r="C221" s="26">
        <v>7.5</v>
      </c>
    </row>
    <row r="222">
      <c r="A222" s="16" t="s">
        <v>271</v>
      </c>
      <c r="B222" s="26">
        <v>3.0</v>
      </c>
      <c r="C222" s="26">
        <v>7.5</v>
      </c>
    </row>
    <row r="223">
      <c r="A223" s="16" t="s">
        <v>272</v>
      </c>
      <c r="B223" s="26">
        <v>3.0</v>
      </c>
      <c r="C223" s="26">
        <v>7.5</v>
      </c>
    </row>
    <row r="224">
      <c r="A224" s="16" t="s">
        <v>273</v>
      </c>
      <c r="B224" s="26">
        <v>3.0</v>
      </c>
      <c r="C224" s="26">
        <v>7.5</v>
      </c>
    </row>
    <row r="225">
      <c r="A225" s="16" t="s">
        <v>274</v>
      </c>
      <c r="B225" s="26">
        <v>3.0</v>
      </c>
      <c r="C225" s="26">
        <v>7.5</v>
      </c>
    </row>
    <row r="226">
      <c r="A226" s="16" t="s">
        <v>275</v>
      </c>
      <c r="B226" s="26">
        <v>3.0</v>
      </c>
      <c r="C226" s="26">
        <v>7.5</v>
      </c>
    </row>
    <row r="227">
      <c r="A227" s="16" t="s">
        <v>276</v>
      </c>
      <c r="B227" s="26">
        <v>3.0</v>
      </c>
      <c r="C227" s="26">
        <v>7.5</v>
      </c>
    </row>
    <row r="228">
      <c r="A228" s="16" t="s">
        <v>277</v>
      </c>
      <c r="B228" s="26">
        <v>3.0</v>
      </c>
      <c r="C228" s="26">
        <v>7.5</v>
      </c>
    </row>
    <row r="229">
      <c r="A229" s="16" t="s">
        <v>278</v>
      </c>
      <c r="B229" s="26">
        <v>3.0</v>
      </c>
      <c r="C229" s="26">
        <v>7.5</v>
      </c>
    </row>
    <row r="230">
      <c r="A230" s="16" t="s">
        <v>279</v>
      </c>
      <c r="B230" s="26">
        <v>3.0</v>
      </c>
      <c r="C230" s="26">
        <v>7.5</v>
      </c>
    </row>
    <row r="231">
      <c r="A231" s="16" t="s">
        <v>280</v>
      </c>
      <c r="B231" s="26">
        <v>3.0</v>
      </c>
      <c r="C231" s="26">
        <v>7.5</v>
      </c>
    </row>
    <row r="232">
      <c r="A232" s="16" t="s">
        <v>281</v>
      </c>
      <c r="B232" s="26">
        <v>3.0</v>
      </c>
      <c r="C232" s="26">
        <v>7.5</v>
      </c>
    </row>
    <row r="233">
      <c r="A233" s="16" t="s">
        <v>282</v>
      </c>
      <c r="B233" s="26">
        <v>3.0</v>
      </c>
      <c r="C233" s="26">
        <v>7.5</v>
      </c>
    </row>
    <row r="234">
      <c r="A234" s="16" t="s">
        <v>283</v>
      </c>
      <c r="B234" s="26">
        <v>3.0</v>
      </c>
      <c r="C234" s="26">
        <v>7.5</v>
      </c>
    </row>
    <row r="235">
      <c r="A235" s="16" t="s">
        <v>284</v>
      </c>
      <c r="B235" s="26">
        <v>3.0</v>
      </c>
      <c r="C235" s="26">
        <v>7.5</v>
      </c>
    </row>
    <row r="236">
      <c r="A236" s="16" t="s">
        <v>285</v>
      </c>
      <c r="B236" s="26">
        <v>3.0</v>
      </c>
      <c r="C236" s="26">
        <v>7.5</v>
      </c>
    </row>
    <row r="237">
      <c r="A237" s="16" t="s">
        <v>286</v>
      </c>
      <c r="B237" s="26">
        <v>3.0</v>
      </c>
      <c r="C237" s="26">
        <v>7.5</v>
      </c>
    </row>
    <row r="238">
      <c r="A238" s="16" t="s">
        <v>287</v>
      </c>
      <c r="B238" s="26">
        <v>3.0</v>
      </c>
      <c r="C238" s="26">
        <v>7.5</v>
      </c>
    </row>
    <row r="239">
      <c r="A239" s="16" t="s">
        <v>288</v>
      </c>
      <c r="B239" s="26">
        <v>3.0</v>
      </c>
      <c r="C239" s="26">
        <v>7.5</v>
      </c>
    </row>
    <row r="240">
      <c r="A240" s="16" t="s">
        <v>289</v>
      </c>
      <c r="B240" s="26">
        <v>3.0</v>
      </c>
      <c r="C240" s="26">
        <v>7.5</v>
      </c>
    </row>
    <row r="241">
      <c r="A241" s="16" t="s">
        <v>290</v>
      </c>
      <c r="B241" s="26">
        <v>3.0</v>
      </c>
      <c r="C241" s="26">
        <v>7.5</v>
      </c>
    </row>
    <row r="242">
      <c r="A242" s="16" t="s">
        <v>291</v>
      </c>
      <c r="B242" s="26">
        <v>3.0</v>
      </c>
      <c r="C242" s="26">
        <v>7.5</v>
      </c>
    </row>
    <row r="243">
      <c r="A243" s="16" t="s">
        <v>292</v>
      </c>
      <c r="B243" s="26">
        <v>3.0</v>
      </c>
      <c r="C243" s="26">
        <v>7.5</v>
      </c>
    </row>
    <row r="244">
      <c r="A244" s="16" t="s">
        <v>293</v>
      </c>
      <c r="B244" s="26">
        <v>3.0</v>
      </c>
      <c r="C244" s="26">
        <v>7.5</v>
      </c>
    </row>
    <row r="245">
      <c r="A245" s="16" t="s">
        <v>294</v>
      </c>
      <c r="B245" s="26">
        <v>3.0</v>
      </c>
      <c r="C245" s="26">
        <v>7.5</v>
      </c>
    </row>
    <row r="246">
      <c r="A246" s="16" t="s">
        <v>295</v>
      </c>
      <c r="B246" s="26">
        <v>3.0</v>
      </c>
      <c r="C246" s="26">
        <v>7.5</v>
      </c>
    </row>
    <row r="247">
      <c r="A247" s="16" t="s">
        <v>296</v>
      </c>
      <c r="B247" s="26">
        <v>3.0</v>
      </c>
      <c r="C247" s="26">
        <v>7.5</v>
      </c>
    </row>
    <row r="248">
      <c r="A248" s="16" t="s">
        <v>297</v>
      </c>
      <c r="B248" s="26">
        <v>3.0</v>
      </c>
      <c r="C248" s="26">
        <v>7.5</v>
      </c>
    </row>
    <row r="249">
      <c r="A249" s="16" t="s">
        <v>298</v>
      </c>
      <c r="B249" s="26">
        <v>3.0</v>
      </c>
      <c r="C249" s="26">
        <v>7.5</v>
      </c>
    </row>
    <row r="250">
      <c r="A250" s="16" t="s">
        <v>299</v>
      </c>
      <c r="B250" s="26">
        <v>3.0</v>
      </c>
      <c r="C250" s="26">
        <v>7.5</v>
      </c>
    </row>
    <row r="251">
      <c r="A251" s="16" t="s">
        <v>300</v>
      </c>
      <c r="B251" s="26">
        <v>3.0</v>
      </c>
      <c r="C251" s="26">
        <v>7.5</v>
      </c>
    </row>
    <row r="252">
      <c r="A252" s="16" t="s">
        <v>301</v>
      </c>
      <c r="B252" s="26">
        <v>3.0</v>
      </c>
      <c r="C252" s="26">
        <v>7.5</v>
      </c>
    </row>
    <row r="253">
      <c r="A253" s="16" t="s">
        <v>302</v>
      </c>
      <c r="B253" s="26">
        <v>3.0</v>
      </c>
      <c r="C253" s="26">
        <v>7.5</v>
      </c>
    </row>
    <row r="254">
      <c r="A254" s="16" t="s">
        <v>303</v>
      </c>
      <c r="B254" s="26">
        <v>3.0</v>
      </c>
      <c r="C254" s="26">
        <v>7.5</v>
      </c>
    </row>
    <row r="255">
      <c r="A255" s="16" t="s">
        <v>304</v>
      </c>
      <c r="B255" s="26">
        <v>3.0</v>
      </c>
      <c r="C255" s="26">
        <v>7.5</v>
      </c>
    </row>
    <row r="256">
      <c r="A256" s="16" t="s">
        <v>305</v>
      </c>
      <c r="B256" s="26">
        <v>3.0</v>
      </c>
      <c r="C256" s="26">
        <v>7.5</v>
      </c>
    </row>
    <row r="257">
      <c r="A257" s="16" t="s">
        <v>306</v>
      </c>
      <c r="B257" s="26">
        <v>3.0</v>
      </c>
      <c r="C257" s="26">
        <v>7.5</v>
      </c>
    </row>
    <row r="258">
      <c r="A258" s="16" t="s">
        <v>307</v>
      </c>
      <c r="B258" s="26">
        <v>3.0</v>
      </c>
      <c r="C258" s="26">
        <v>7.5</v>
      </c>
    </row>
    <row r="259">
      <c r="A259" s="16" t="s">
        <v>308</v>
      </c>
      <c r="B259" s="26">
        <v>3.0</v>
      </c>
      <c r="C259" s="26">
        <v>7.5</v>
      </c>
    </row>
    <row r="260">
      <c r="A260" s="16" t="s">
        <v>309</v>
      </c>
      <c r="B260" s="26">
        <v>3.0</v>
      </c>
      <c r="C260" s="26">
        <v>7.5</v>
      </c>
    </row>
    <row r="261">
      <c r="A261" s="16" t="s">
        <v>310</v>
      </c>
      <c r="B261" s="26">
        <v>3.0</v>
      </c>
      <c r="C261" s="26">
        <v>7.5</v>
      </c>
    </row>
    <row r="262">
      <c r="A262" s="16" t="s">
        <v>311</v>
      </c>
      <c r="B262" s="26">
        <v>3.0</v>
      </c>
      <c r="C262" s="26">
        <v>7.5</v>
      </c>
    </row>
    <row r="263">
      <c r="A263" s="16" t="s">
        <v>312</v>
      </c>
      <c r="B263" s="26">
        <v>3.0</v>
      </c>
      <c r="C263" s="26">
        <v>7.5</v>
      </c>
    </row>
    <row r="264">
      <c r="A264" s="16" t="s">
        <v>313</v>
      </c>
      <c r="B264" s="26">
        <v>3.0</v>
      </c>
      <c r="C264" s="26">
        <v>7.5</v>
      </c>
    </row>
    <row r="265">
      <c r="A265" s="16" t="s">
        <v>314</v>
      </c>
      <c r="B265" s="26">
        <v>3.0</v>
      </c>
      <c r="C265" s="26">
        <v>7.5</v>
      </c>
    </row>
    <row r="266">
      <c r="A266" s="16" t="s">
        <v>315</v>
      </c>
      <c r="B266" s="26">
        <v>3.0</v>
      </c>
      <c r="C266" s="26">
        <v>7.5</v>
      </c>
    </row>
    <row r="267">
      <c r="A267" s="16" t="s">
        <v>316</v>
      </c>
      <c r="B267" s="26">
        <v>3.0</v>
      </c>
      <c r="C267" s="26">
        <v>7.5</v>
      </c>
    </row>
    <row r="268">
      <c r="A268" s="16" t="s">
        <v>317</v>
      </c>
      <c r="B268" s="26">
        <v>3.0</v>
      </c>
      <c r="C268" s="26">
        <v>7.5</v>
      </c>
    </row>
    <row r="269">
      <c r="A269" s="16" t="s">
        <v>318</v>
      </c>
      <c r="B269" s="26">
        <v>3.0</v>
      </c>
      <c r="C269" s="26">
        <v>7.5</v>
      </c>
    </row>
    <row r="270">
      <c r="A270" s="16" t="s">
        <v>319</v>
      </c>
      <c r="B270" s="26">
        <v>3.0</v>
      </c>
      <c r="C270" s="26">
        <v>7.5</v>
      </c>
    </row>
    <row r="271">
      <c r="A271" s="16" t="s">
        <v>320</v>
      </c>
      <c r="B271" s="26">
        <v>3.0</v>
      </c>
      <c r="C271" s="26">
        <v>7.5</v>
      </c>
    </row>
    <row r="272">
      <c r="A272" s="16" t="s">
        <v>321</v>
      </c>
      <c r="B272" s="26">
        <v>3.0</v>
      </c>
      <c r="C272" s="26">
        <v>7.5</v>
      </c>
    </row>
    <row r="273">
      <c r="A273" s="16" t="s">
        <v>322</v>
      </c>
      <c r="B273" s="26">
        <v>3.0</v>
      </c>
      <c r="C273" s="26">
        <v>7.5</v>
      </c>
    </row>
    <row r="274">
      <c r="A274" s="16" t="s">
        <v>323</v>
      </c>
      <c r="B274" s="26">
        <v>3.0</v>
      </c>
      <c r="C274" s="26">
        <v>7.5</v>
      </c>
    </row>
    <row r="275">
      <c r="A275" s="16" t="s">
        <v>324</v>
      </c>
      <c r="B275" s="26">
        <v>3.0</v>
      </c>
      <c r="C275" s="26">
        <v>7.5</v>
      </c>
    </row>
    <row r="276">
      <c r="A276" s="16" t="s">
        <v>325</v>
      </c>
      <c r="B276" s="26">
        <v>3.0</v>
      </c>
      <c r="C276" s="26">
        <v>7.5</v>
      </c>
    </row>
    <row r="277">
      <c r="A277" s="16" t="s">
        <v>326</v>
      </c>
      <c r="B277" s="26">
        <v>3.0</v>
      </c>
      <c r="C277" s="26">
        <v>7.5</v>
      </c>
    </row>
    <row r="278">
      <c r="A278" s="16" t="s">
        <v>327</v>
      </c>
      <c r="B278" s="26">
        <v>3.0</v>
      </c>
      <c r="C278" s="26">
        <v>7.5</v>
      </c>
    </row>
    <row r="279">
      <c r="A279" s="16" t="s">
        <v>328</v>
      </c>
      <c r="B279" s="26">
        <v>3.0</v>
      </c>
      <c r="C279" s="26">
        <v>7.5</v>
      </c>
    </row>
    <row r="280">
      <c r="A280" s="16" t="s">
        <v>329</v>
      </c>
      <c r="B280" s="26">
        <v>3.0</v>
      </c>
      <c r="C280" s="26">
        <v>7.5</v>
      </c>
    </row>
    <row r="281">
      <c r="A281" s="16" t="s">
        <v>330</v>
      </c>
      <c r="B281" s="26">
        <v>3.0</v>
      </c>
      <c r="C281" s="26">
        <v>7.5</v>
      </c>
    </row>
    <row r="282">
      <c r="A282" s="16" t="s">
        <v>331</v>
      </c>
      <c r="B282" s="26">
        <v>3.0</v>
      </c>
      <c r="C282" s="26">
        <v>7.5</v>
      </c>
    </row>
    <row r="283">
      <c r="A283" s="16" t="s">
        <v>332</v>
      </c>
      <c r="B283" s="26">
        <v>3.0</v>
      </c>
      <c r="C283" s="26">
        <v>7.5</v>
      </c>
    </row>
    <row r="284">
      <c r="A284" s="16" t="s">
        <v>333</v>
      </c>
      <c r="B284" s="26">
        <v>3.0</v>
      </c>
      <c r="C284" s="26">
        <v>7.5</v>
      </c>
    </row>
    <row r="285">
      <c r="A285" s="16" t="s">
        <v>334</v>
      </c>
      <c r="B285" s="26">
        <v>3.0</v>
      </c>
      <c r="C285" s="26">
        <v>7.5</v>
      </c>
    </row>
    <row r="286">
      <c r="A286" s="16" t="s">
        <v>335</v>
      </c>
      <c r="B286" s="26">
        <v>3.0</v>
      </c>
      <c r="C286" s="26">
        <v>7.5</v>
      </c>
    </row>
    <row r="287">
      <c r="A287" s="16" t="s">
        <v>336</v>
      </c>
      <c r="B287" s="26">
        <v>3.0</v>
      </c>
      <c r="C287" s="26">
        <v>7.5</v>
      </c>
    </row>
    <row r="288">
      <c r="A288" s="16" t="s">
        <v>337</v>
      </c>
      <c r="B288" s="26">
        <v>3.0</v>
      </c>
      <c r="C288" s="26">
        <v>7.5</v>
      </c>
    </row>
    <row r="289">
      <c r="A289" s="16" t="s">
        <v>338</v>
      </c>
      <c r="B289" s="26">
        <v>3.0</v>
      </c>
      <c r="C289" s="26">
        <v>7.5</v>
      </c>
    </row>
    <row r="290">
      <c r="A290" s="16" t="s">
        <v>339</v>
      </c>
      <c r="B290" s="26">
        <v>3.0</v>
      </c>
      <c r="C290" s="26">
        <v>7.5</v>
      </c>
    </row>
    <row r="291">
      <c r="A291" s="16" t="s">
        <v>340</v>
      </c>
      <c r="B291" s="26">
        <v>3.0</v>
      </c>
      <c r="C291" s="26">
        <v>7.5</v>
      </c>
    </row>
    <row r="292">
      <c r="A292" s="16" t="s">
        <v>341</v>
      </c>
      <c r="B292" s="26">
        <v>3.0</v>
      </c>
      <c r="C292" s="26">
        <v>7.5</v>
      </c>
    </row>
    <row r="293">
      <c r="A293" s="16" t="s">
        <v>342</v>
      </c>
      <c r="B293" s="26">
        <v>3.0</v>
      </c>
      <c r="C293" s="26">
        <v>7.5</v>
      </c>
    </row>
    <row r="294">
      <c r="A294" s="16" t="s">
        <v>343</v>
      </c>
      <c r="B294" s="26">
        <v>3.0</v>
      </c>
      <c r="C294" s="26">
        <v>7.5</v>
      </c>
    </row>
    <row r="295">
      <c r="A295" s="16" t="s">
        <v>344</v>
      </c>
      <c r="B295" s="26">
        <v>3.0</v>
      </c>
      <c r="C295" s="26">
        <v>7.5</v>
      </c>
    </row>
    <row r="296">
      <c r="A296" s="16" t="s">
        <v>345</v>
      </c>
      <c r="B296" s="26">
        <v>3.0</v>
      </c>
      <c r="C296" s="26">
        <v>7.5</v>
      </c>
    </row>
    <row r="297">
      <c r="A297" s="16" t="s">
        <v>346</v>
      </c>
      <c r="B297" s="26">
        <v>3.0</v>
      </c>
      <c r="C297" s="26">
        <v>7.5</v>
      </c>
    </row>
    <row r="298">
      <c r="A298" s="16" t="s">
        <v>347</v>
      </c>
      <c r="B298" s="26">
        <v>3.0</v>
      </c>
      <c r="C298" s="26">
        <v>7.5</v>
      </c>
    </row>
    <row r="299">
      <c r="A299" s="16" t="s">
        <v>348</v>
      </c>
      <c r="B299" s="26">
        <v>3.0</v>
      </c>
      <c r="C299" s="26">
        <v>7.5</v>
      </c>
    </row>
    <row r="300">
      <c r="A300" s="16" t="s">
        <v>349</v>
      </c>
      <c r="B300" s="26">
        <v>3.0</v>
      </c>
      <c r="C300" s="26">
        <v>7.5</v>
      </c>
    </row>
    <row r="301">
      <c r="A301" s="16" t="s">
        <v>350</v>
      </c>
      <c r="B301" s="26">
        <v>3.0</v>
      </c>
      <c r="C301" s="26">
        <v>7.5</v>
      </c>
    </row>
    <row r="302">
      <c r="A302" s="16" t="s">
        <v>351</v>
      </c>
      <c r="B302" s="26">
        <v>3.0</v>
      </c>
      <c r="C302" s="26">
        <v>7.5</v>
      </c>
    </row>
    <row r="303">
      <c r="A303" s="16" t="s">
        <v>352</v>
      </c>
      <c r="B303" s="26">
        <v>3.0</v>
      </c>
      <c r="C303" s="26">
        <v>7.5</v>
      </c>
    </row>
    <row r="304">
      <c r="A304" s="16" t="s">
        <v>353</v>
      </c>
      <c r="B304" s="26">
        <v>3.0</v>
      </c>
      <c r="C304" s="26">
        <v>7.5</v>
      </c>
    </row>
    <row r="305">
      <c r="A305" s="16" t="s">
        <v>354</v>
      </c>
      <c r="B305" s="26">
        <v>3.0</v>
      </c>
      <c r="C305" s="26">
        <v>7.5</v>
      </c>
    </row>
    <row r="306">
      <c r="A306" s="16" t="s">
        <v>355</v>
      </c>
      <c r="B306" s="26">
        <v>3.0</v>
      </c>
      <c r="C306" s="26">
        <v>7.5</v>
      </c>
    </row>
    <row r="307">
      <c r="A307" s="16" t="s">
        <v>356</v>
      </c>
      <c r="B307" s="26">
        <v>3.0</v>
      </c>
      <c r="C307" s="26">
        <v>7.5</v>
      </c>
    </row>
    <row r="308">
      <c r="A308" s="16" t="s">
        <v>357</v>
      </c>
      <c r="B308" s="26">
        <v>3.0</v>
      </c>
      <c r="C308" s="26">
        <v>7.5</v>
      </c>
    </row>
    <row r="309">
      <c r="A309" s="16" t="s">
        <v>358</v>
      </c>
      <c r="B309" s="26">
        <v>3.0</v>
      </c>
      <c r="C309" s="26">
        <v>7.5</v>
      </c>
    </row>
    <row r="310">
      <c r="A310" s="16" t="s">
        <v>359</v>
      </c>
      <c r="B310" s="26">
        <v>3.0</v>
      </c>
      <c r="C310" s="26">
        <v>7.5</v>
      </c>
    </row>
    <row r="311">
      <c r="A311" s="16" t="s">
        <v>360</v>
      </c>
      <c r="B311" s="26">
        <v>3.0</v>
      </c>
      <c r="C311" s="26">
        <v>7.5</v>
      </c>
    </row>
    <row r="312">
      <c r="A312" s="16" t="s">
        <v>361</v>
      </c>
      <c r="B312" s="26">
        <v>3.0</v>
      </c>
      <c r="C312" s="26">
        <v>7.5</v>
      </c>
    </row>
    <row r="313">
      <c r="A313" s="16" t="s">
        <v>362</v>
      </c>
      <c r="B313" s="26">
        <v>3.0</v>
      </c>
      <c r="C313" s="26">
        <v>7.5</v>
      </c>
    </row>
    <row r="314">
      <c r="A314" s="16" t="s">
        <v>363</v>
      </c>
      <c r="B314" s="26">
        <v>3.0</v>
      </c>
      <c r="C314" s="26">
        <v>7.5</v>
      </c>
    </row>
    <row r="315">
      <c r="A315" s="16" t="s">
        <v>364</v>
      </c>
      <c r="B315" s="26">
        <v>3.0</v>
      </c>
      <c r="C315" s="26">
        <v>7.5</v>
      </c>
    </row>
    <row r="316">
      <c r="A316" s="16" t="s">
        <v>365</v>
      </c>
      <c r="B316" s="26">
        <v>3.0</v>
      </c>
      <c r="C316" s="26">
        <v>7.5</v>
      </c>
    </row>
    <row r="317">
      <c r="A317" s="16" t="s">
        <v>366</v>
      </c>
      <c r="B317" s="26">
        <v>3.0</v>
      </c>
      <c r="C317" s="26">
        <v>7.5</v>
      </c>
    </row>
    <row r="318">
      <c r="A318" s="16" t="s">
        <v>367</v>
      </c>
      <c r="B318" s="26">
        <v>3.0</v>
      </c>
      <c r="C318" s="26">
        <v>7.5</v>
      </c>
    </row>
    <row r="319">
      <c r="A319" s="16" t="s">
        <v>368</v>
      </c>
      <c r="B319" s="26">
        <v>3.0</v>
      </c>
      <c r="C319" s="26">
        <v>7.5</v>
      </c>
    </row>
    <row r="320">
      <c r="A320" s="16" t="s">
        <v>369</v>
      </c>
      <c r="B320" s="26">
        <v>3.0</v>
      </c>
      <c r="C320" s="26">
        <v>7.5</v>
      </c>
    </row>
    <row r="321">
      <c r="A321" s="16" t="s">
        <v>370</v>
      </c>
      <c r="B321" s="26">
        <v>3.0</v>
      </c>
      <c r="C321" s="26">
        <v>7.5</v>
      </c>
    </row>
    <row r="322">
      <c r="A322" s="16" t="s">
        <v>371</v>
      </c>
      <c r="B322" s="26">
        <v>3.0</v>
      </c>
      <c r="C322" s="26">
        <v>7.5</v>
      </c>
    </row>
    <row r="323">
      <c r="A323" s="16" t="s">
        <v>372</v>
      </c>
      <c r="B323" s="26">
        <v>3.0</v>
      </c>
      <c r="C323" s="26">
        <v>7.5</v>
      </c>
    </row>
    <row r="324">
      <c r="A324" s="16" t="s">
        <v>373</v>
      </c>
      <c r="B324" s="26">
        <v>3.0</v>
      </c>
      <c r="C324" s="26">
        <v>7.5</v>
      </c>
    </row>
    <row r="325">
      <c r="A325" s="16" t="s">
        <v>374</v>
      </c>
      <c r="B325" s="26">
        <v>3.0</v>
      </c>
      <c r="C325" s="26">
        <v>7.5</v>
      </c>
    </row>
    <row r="326">
      <c r="A326" s="16" t="s">
        <v>375</v>
      </c>
      <c r="B326" s="26">
        <v>3.0</v>
      </c>
      <c r="C326" s="26">
        <v>7.5</v>
      </c>
    </row>
    <row r="327">
      <c r="A327" s="16" t="s">
        <v>377</v>
      </c>
      <c r="B327" s="26">
        <v>3.0</v>
      </c>
      <c r="C327" s="26">
        <v>7.5</v>
      </c>
    </row>
    <row r="328">
      <c r="A328" s="16" t="s">
        <v>378</v>
      </c>
      <c r="B328" s="26">
        <v>3.0</v>
      </c>
      <c r="C328" s="26">
        <v>7.5</v>
      </c>
    </row>
    <row r="329">
      <c r="A329" s="16" t="s">
        <v>379</v>
      </c>
      <c r="B329" s="26">
        <v>3.0</v>
      </c>
      <c r="C329" s="26">
        <v>7.5</v>
      </c>
    </row>
    <row r="330">
      <c r="A330" s="16" t="s">
        <v>380</v>
      </c>
      <c r="B330" s="26">
        <v>3.0</v>
      </c>
      <c r="C330" s="26">
        <v>7.5</v>
      </c>
    </row>
    <row r="331">
      <c r="A331" s="16" t="s">
        <v>381</v>
      </c>
      <c r="B331" s="26">
        <v>3.0</v>
      </c>
      <c r="C331" s="26">
        <v>7.5</v>
      </c>
    </row>
    <row r="332">
      <c r="A332" s="16" t="s">
        <v>382</v>
      </c>
      <c r="B332" s="26">
        <v>3.0</v>
      </c>
      <c r="C332" s="26">
        <v>7.5</v>
      </c>
    </row>
    <row r="333">
      <c r="A333" s="16" t="s">
        <v>383</v>
      </c>
      <c r="B333" s="26">
        <v>3.0</v>
      </c>
      <c r="C333" s="26">
        <v>7.5</v>
      </c>
    </row>
    <row r="334">
      <c r="A334" s="16" t="s">
        <v>384</v>
      </c>
      <c r="B334" s="26">
        <v>3.0</v>
      </c>
      <c r="C334" s="26">
        <v>7.5</v>
      </c>
    </row>
    <row r="335">
      <c r="A335" s="16" t="s">
        <v>385</v>
      </c>
      <c r="B335" s="26">
        <v>3.0</v>
      </c>
      <c r="C335" s="26">
        <v>7.5</v>
      </c>
    </row>
    <row r="336">
      <c r="A336" s="16" t="s">
        <v>386</v>
      </c>
      <c r="B336" s="26">
        <v>3.0</v>
      </c>
      <c r="C336" s="26">
        <v>7.5</v>
      </c>
    </row>
    <row r="337">
      <c r="A337" s="16" t="s">
        <v>387</v>
      </c>
      <c r="B337" s="26">
        <v>3.0</v>
      </c>
      <c r="C337" s="26">
        <v>7.5</v>
      </c>
    </row>
    <row r="338">
      <c r="A338" s="16" t="s">
        <v>388</v>
      </c>
      <c r="B338" s="26">
        <v>3.0</v>
      </c>
      <c r="C338" s="26">
        <v>7.5</v>
      </c>
    </row>
    <row r="339">
      <c r="A339" s="16" t="s">
        <v>389</v>
      </c>
      <c r="B339" s="26">
        <v>3.0</v>
      </c>
      <c r="C339" s="26">
        <v>7.5</v>
      </c>
    </row>
    <row r="340">
      <c r="A340" s="16" t="s">
        <v>391</v>
      </c>
      <c r="B340" s="26">
        <v>3.0</v>
      </c>
      <c r="C340" s="26">
        <v>7.5</v>
      </c>
    </row>
    <row r="341">
      <c r="A341" s="16" t="s">
        <v>392</v>
      </c>
      <c r="B341" s="26">
        <v>3.0</v>
      </c>
      <c r="C341" s="26">
        <v>7.5</v>
      </c>
    </row>
    <row r="342">
      <c r="A342" s="16" t="s">
        <v>393</v>
      </c>
      <c r="B342" s="26">
        <v>3.0</v>
      </c>
      <c r="C342" s="26">
        <v>7.5</v>
      </c>
    </row>
    <row r="343">
      <c r="A343" s="16" t="s">
        <v>394</v>
      </c>
      <c r="B343" s="26">
        <v>3.0</v>
      </c>
      <c r="C343" s="26">
        <v>7.5</v>
      </c>
    </row>
    <row r="344">
      <c r="A344" s="16" t="s">
        <v>395</v>
      </c>
      <c r="B344" s="26">
        <v>3.0</v>
      </c>
      <c r="C344" s="26">
        <v>7.5</v>
      </c>
    </row>
    <row r="345">
      <c r="A345" s="16" t="s">
        <v>396</v>
      </c>
      <c r="B345" s="26">
        <v>3.0</v>
      </c>
      <c r="C345" s="26">
        <v>7.5</v>
      </c>
    </row>
    <row r="346">
      <c r="A346" s="16" t="s">
        <v>397</v>
      </c>
      <c r="B346" s="26">
        <v>3.0</v>
      </c>
      <c r="C346" s="26">
        <v>7.5</v>
      </c>
    </row>
    <row r="347">
      <c r="A347" s="16" t="s">
        <v>398</v>
      </c>
      <c r="B347" s="26">
        <v>3.0</v>
      </c>
      <c r="C347" s="26">
        <v>7.5</v>
      </c>
    </row>
    <row r="348">
      <c r="A348" s="16" t="s">
        <v>399</v>
      </c>
      <c r="B348" s="26">
        <v>3.0</v>
      </c>
      <c r="C348" s="26">
        <v>7.5</v>
      </c>
    </row>
    <row r="349">
      <c r="A349" s="16" t="s">
        <v>400</v>
      </c>
      <c r="B349" s="26">
        <v>3.0</v>
      </c>
      <c r="C349" s="26">
        <v>7.5</v>
      </c>
    </row>
    <row r="350">
      <c r="A350" s="16" t="s">
        <v>401</v>
      </c>
      <c r="B350" s="26">
        <v>3.0</v>
      </c>
      <c r="C350" s="26">
        <v>7.5</v>
      </c>
    </row>
    <row r="351">
      <c r="A351" s="16" t="s">
        <v>402</v>
      </c>
      <c r="B351" s="26">
        <v>3.0</v>
      </c>
      <c r="C351" s="26">
        <v>7.5</v>
      </c>
    </row>
    <row r="352">
      <c r="A352" s="16" t="s">
        <v>403</v>
      </c>
      <c r="B352" s="26">
        <v>3.0</v>
      </c>
      <c r="C352" s="26">
        <v>7.5</v>
      </c>
    </row>
    <row r="353">
      <c r="A353" s="16" t="s">
        <v>404</v>
      </c>
      <c r="B353" s="26">
        <v>3.0</v>
      </c>
      <c r="C353" s="26">
        <v>7.5</v>
      </c>
    </row>
    <row r="354">
      <c r="A354" s="16" t="s">
        <v>405</v>
      </c>
      <c r="B354" s="26">
        <v>3.0</v>
      </c>
      <c r="C354" s="26">
        <v>7.5</v>
      </c>
    </row>
    <row r="355">
      <c r="A355" s="16" t="s">
        <v>406</v>
      </c>
      <c r="B355" s="26">
        <v>3.0</v>
      </c>
      <c r="C355" s="26">
        <v>7.5</v>
      </c>
    </row>
    <row r="356">
      <c r="A356" s="16" t="s">
        <v>407</v>
      </c>
      <c r="B356" s="26">
        <v>3.0</v>
      </c>
      <c r="C356" s="26">
        <v>7.5</v>
      </c>
    </row>
    <row r="357">
      <c r="A357" s="16" t="s">
        <v>408</v>
      </c>
      <c r="B357" s="26">
        <v>3.0</v>
      </c>
      <c r="C357" s="26">
        <v>7.5</v>
      </c>
    </row>
    <row r="358">
      <c r="A358" s="16" t="s">
        <v>409</v>
      </c>
      <c r="B358" s="26">
        <v>3.0</v>
      </c>
      <c r="C358" s="26">
        <v>7.5</v>
      </c>
    </row>
    <row r="359">
      <c r="A359" s="16" t="s">
        <v>410</v>
      </c>
      <c r="B359" s="26">
        <v>3.0</v>
      </c>
      <c r="C359" s="26">
        <v>7.5</v>
      </c>
    </row>
    <row r="360">
      <c r="A360" s="16" t="s">
        <v>411</v>
      </c>
      <c r="B360" s="26">
        <v>3.0</v>
      </c>
      <c r="C360" s="26">
        <v>7.5</v>
      </c>
    </row>
    <row r="361">
      <c r="A361" s="16" t="s">
        <v>412</v>
      </c>
      <c r="B361" s="26">
        <v>3.0</v>
      </c>
      <c r="C361" s="26">
        <v>7.5</v>
      </c>
    </row>
    <row r="362">
      <c r="A362" s="16" t="s">
        <v>413</v>
      </c>
      <c r="B362" s="26">
        <v>3.0</v>
      </c>
      <c r="C362" s="26">
        <v>7.5</v>
      </c>
    </row>
    <row r="363">
      <c r="A363" s="16" t="s">
        <v>414</v>
      </c>
      <c r="B363" s="26">
        <v>3.0</v>
      </c>
      <c r="C363" s="26">
        <v>7.5</v>
      </c>
    </row>
    <row r="364">
      <c r="A364" s="16" t="s">
        <v>415</v>
      </c>
      <c r="B364" s="26">
        <v>3.0</v>
      </c>
      <c r="C364" s="26">
        <v>7.5</v>
      </c>
    </row>
    <row r="365">
      <c r="A365" s="16" t="s">
        <v>416</v>
      </c>
      <c r="B365" s="26">
        <v>3.0</v>
      </c>
      <c r="C365" s="26">
        <v>7.5</v>
      </c>
    </row>
    <row r="366">
      <c r="A366" s="16" t="s">
        <v>417</v>
      </c>
      <c r="B366" s="26">
        <v>3.0</v>
      </c>
      <c r="C366" s="26">
        <v>7.5</v>
      </c>
    </row>
    <row r="367">
      <c r="A367" s="16" t="s">
        <v>418</v>
      </c>
      <c r="B367" s="26">
        <v>3.0</v>
      </c>
      <c r="C367" s="26">
        <v>7.5</v>
      </c>
    </row>
    <row r="368">
      <c r="A368" s="16" t="s">
        <v>419</v>
      </c>
      <c r="B368" s="26">
        <v>3.0</v>
      </c>
      <c r="C368" s="26">
        <v>7.5</v>
      </c>
    </row>
    <row r="369">
      <c r="A369" s="16" t="s">
        <v>420</v>
      </c>
      <c r="B369" s="26">
        <v>3.0</v>
      </c>
      <c r="C369" s="26">
        <v>7.5</v>
      </c>
    </row>
    <row r="370">
      <c r="A370" s="16" t="s">
        <v>421</v>
      </c>
      <c r="B370" s="26">
        <v>3.0</v>
      </c>
      <c r="C370" s="26">
        <v>7.5</v>
      </c>
    </row>
    <row r="371">
      <c r="A371" s="16" t="s">
        <v>422</v>
      </c>
      <c r="B371" s="26">
        <v>3.0</v>
      </c>
      <c r="C371" s="26">
        <v>7.5</v>
      </c>
    </row>
    <row r="372">
      <c r="A372" s="16" t="s">
        <v>423</v>
      </c>
      <c r="B372" s="26">
        <v>3.0</v>
      </c>
      <c r="C372" s="26">
        <v>7.5</v>
      </c>
    </row>
    <row r="373">
      <c r="A373" s="16" t="s">
        <v>424</v>
      </c>
      <c r="B373" s="26">
        <v>3.0</v>
      </c>
      <c r="C373" s="26">
        <v>7.5</v>
      </c>
    </row>
    <row r="374">
      <c r="A374" s="16" t="s">
        <v>425</v>
      </c>
      <c r="B374" s="26">
        <v>3.0</v>
      </c>
      <c r="C374" s="26">
        <v>7.5</v>
      </c>
    </row>
    <row r="375">
      <c r="A375" s="16" t="s">
        <v>426</v>
      </c>
      <c r="B375" s="26">
        <v>3.0</v>
      </c>
      <c r="C375" s="26">
        <v>7.5</v>
      </c>
    </row>
    <row r="376">
      <c r="A376" s="16" t="s">
        <v>427</v>
      </c>
      <c r="B376" s="26">
        <v>3.0</v>
      </c>
      <c r="C376" s="26">
        <v>7.5</v>
      </c>
    </row>
    <row r="377">
      <c r="A377" s="16" t="s">
        <v>428</v>
      </c>
      <c r="B377" s="26">
        <v>3.0</v>
      </c>
      <c r="C377" s="26">
        <v>7.5</v>
      </c>
    </row>
    <row r="378">
      <c r="A378" s="16" t="s">
        <v>429</v>
      </c>
      <c r="B378" s="26">
        <v>3.0</v>
      </c>
      <c r="C378" s="26">
        <v>7.5</v>
      </c>
    </row>
    <row r="379">
      <c r="A379" s="16" t="s">
        <v>430</v>
      </c>
      <c r="B379" s="26">
        <v>3.0</v>
      </c>
      <c r="C379" s="26">
        <v>7.5</v>
      </c>
    </row>
    <row r="380">
      <c r="A380" s="16" t="s">
        <v>431</v>
      </c>
      <c r="B380" s="26">
        <v>3.0</v>
      </c>
      <c r="C380" s="26">
        <v>7.5</v>
      </c>
    </row>
    <row r="381">
      <c r="A381" s="16" t="s">
        <v>432</v>
      </c>
      <c r="B381" s="26">
        <v>3.0</v>
      </c>
      <c r="C381" s="26">
        <v>7.5</v>
      </c>
    </row>
    <row r="382">
      <c r="A382" s="16" t="s">
        <v>433</v>
      </c>
      <c r="B382" s="26">
        <v>3.0</v>
      </c>
      <c r="C382" s="26">
        <v>7.5</v>
      </c>
    </row>
    <row r="383">
      <c r="A383" s="16" t="s">
        <v>434</v>
      </c>
      <c r="B383" s="26">
        <v>3.0</v>
      </c>
      <c r="C383" s="26">
        <v>7.5</v>
      </c>
    </row>
    <row r="384">
      <c r="A384" s="16" t="s">
        <v>435</v>
      </c>
      <c r="B384" s="26">
        <v>3.0</v>
      </c>
      <c r="C384" s="26">
        <v>7.5</v>
      </c>
    </row>
    <row r="385">
      <c r="A385" s="16" t="s">
        <v>436</v>
      </c>
      <c r="B385" s="26">
        <v>3.0</v>
      </c>
      <c r="C385" s="26">
        <v>7.5</v>
      </c>
    </row>
    <row r="386">
      <c r="A386" s="16" t="s">
        <v>437</v>
      </c>
      <c r="B386" s="26">
        <v>3.0</v>
      </c>
      <c r="C386" s="26">
        <v>7.5</v>
      </c>
    </row>
    <row r="387">
      <c r="A387" s="16" t="s">
        <v>438</v>
      </c>
      <c r="B387" s="26">
        <v>3.0</v>
      </c>
      <c r="C387" s="26">
        <v>7.5</v>
      </c>
    </row>
    <row r="388">
      <c r="A388" s="16" t="s">
        <v>439</v>
      </c>
      <c r="B388" s="26">
        <v>3.0</v>
      </c>
      <c r="C388" s="26">
        <v>7.5</v>
      </c>
    </row>
    <row r="389">
      <c r="A389" s="16" t="s">
        <v>440</v>
      </c>
      <c r="B389" s="26">
        <v>3.0</v>
      </c>
      <c r="C389" s="26">
        <v>7.5</v>
      </c>
    </row>
    <row r="390">
      <c r="A390" s="16" t="s">
        <v>441</v>
      </c>
      <c r="B390" s="26">
        <v>3.0</v>
      </c>
      <c r="C390" s="26">
        <v>7.5</v>
      </c>
    </row>
    <row r="391">
      <c r="A391" s="16" t="s">
        <v>442</v>
      </c>
      <c r="B391" s="26">
        <v>3.0</v>
      </c>
      <c r="C391" s="26">
        <v>7.5</v>
      </c>
    </row>
    <row r="392">
      <c r="A392" s="16" t="s">
        <v>443</v>
      </c>
      <c r="B392" s="26">
        <v>3.0</v>
      </c>
      <c r="C392" s="26">
        <v>7.5</v>
      </c>
    </row>
    <row r="393">
      <c r="A393" s="16" t="s">
        <v>444</v>
      </c>
      <c r="B393" s="26">
        <v>3.0</v>
      </c>
      <c r="C393" s="26">
        <v>7.5</v>
      </c>
    </row>
    <row r="394">
      <c r="A394" s="16" t="s">
        <v>445</v>
      </c>
      <c r="B394" s="26">
        <v>3.0</v>
      </c>
      <c r="C394" s="26">
        <v>7.5</v>
      </c>
    </row>
    <row r="395">
      <c r="A395" s="16" t="s">
        <v>446</v>
      </c>
      <c r="B395" s="26">
        <v>3.0</v>
      </c>
      <c r="C395" s="26">
        <v>7.5</v>
      </c>
    </row>
    <row r="396">
      <c r="A396" s="16" t="s">
        <v>447</v>
      </c>
      <c r="B396" s="26">
        <v>3.0</v>
      </c>
      <c r="C396" s="26">
        <v>7.5</v>
      </c>
    </row>
    <row r="397">
      <c r="A397" s="16" t="s">
        <v>448</v>
      </c>
      <c r="B397" s="26">
        <v>3.0</v>
      </c>
      <c r="C397" s="26">
        <v>7.5</v>
      </c>
    </row>
    <row r="398">
      <c r="A398" s="16" t="s">
        <v>449</v>
      </c>
      <c r="B398" s="26">
        <v>3.0</v>
      </c>
      <c r="C398" s="26">
        <v>7.5</v>
      </c>
    </row>
    <row r="399">
      <c r="A399" s="16" t="s">
        <v>450</v>
      </c>
      <c r="B399" s="26">
        <v>3.0</v>
      </c>
      <c r="C399" s="26">
        <v>7.5</v>
      </c>
    </row>
    <row r="400">
      <c r="A400" s="16" t="s">
        <v>451</v>
      </c>
      <c r="B400" s="26">
        <v>3.0</v>
      </c>
      <c r="C400" s="26">
        <v>7.5</v>
      </c>
    </row>
    <row r="401">
      <c r="A401" s="16" t="s">
        <v>452</v>
      </c>
      <c r="B401" s="26">
        <v>3.0</v>
      </c>
      <c r="C401" s="26">
        <v>7.5</v>
      </c>
    </row>
    <row r="402">
      <c r="A402" s="16" t="s">
        <v>453</v>
      </c>
      <c r="B402" s="26">
        <v>3.0</v>
      </c>
      <c r="C402" s="26">
        <v>7.5</v>
      </c>
    </row>
    <row r="403">
      <c r="A403" s="16" t="s">
        <v>454</v>
      </c>
      <c r="B403" s="26">
        <v>3.0</v>
      </c>
      <c r="C403" s="26">
        <v>7.5</v>
      </c>
    </row>
    <row r="404">
      <c r="A404" s="16" t="s">
        <v>455</v>
      </c>
      <c r="B404" s="26">
        <v>3.0</v>
      </c>
      <c r="C404" s="26">
        <v>7.5</v>
      </c>
    </row>
    <row r="405">
      <c r="A405" s="16" t="s">
        <v>456</v>
      </c>
      <c r="B405" s="26">
        <v>3.0</v>
      </c>
      <c r="C405" s="26">
        <v>7.5</v>
      </c>
    </row>
    <row r="406">
      <c r="A406" s="16" t="s">
        <v>457</v>
      </c>
      <c r="B406" s="26">
        <v>3.0</v>
      </c>
      <c r="C406" s="26">
        <v>7.5</v>
      </c>
    </row>
    <row r="407">
      <c r="A407" s="16" t="s">
        <v>458</v>
      </c>
      <c r="B407" s="26">
        <v>3.0</v>
      </c>
      <c r="C407" s="26">
        <v>7.5</v>
      </c>
    </row>
    <row r="408">
      <c r="A408" s="16" t="s">
        <v>459</v>
      </c>
      <c r="B408" s="26">
        <v>3.0</v>
      </c>
      <c r="C408" s="26">
        <v>7.5</v>
      </c>
    </row>
    <row r="409">
      <c r="A409" s="16" t="s">
        <v>460</v>
      </c>
      <c r="B409" s="26">
        <v>3.0</v>
      </c>
      <c r="C409" s="26">
        <v>7.5</v>
      </c>
    </row>
    <row r="410">
      <c r="A410" s="16" t="s">
        <v>461</v>
      </c>
      <c r="B410" s="26">
        <v>3.0</v>
      </c>
      <c r="C410" s="26">
        <v>7.5</v>
      </c>
    </row>
    <row r="411">
      <c r="A411" s="16" t="s">
        <v>462</v>
      </c>
      <c r="B411" s="26">
        <v>3.0</v>
      </c>
      <c r="C411" s="26">
        <v>7.5</v>
      </c>
    </row>
    <row r="412">
      <c r="A412" s="16" t="s">
        <v>463</v>
      </c>
      <c r="B412" s="26">
        <v>3.0</v>
      </c>
      <c r="C412" s="26">
        <v>7.5</v>
      </c>
    </row>
    <row r="413">
      <c r="A413" s="16" t="s">
        <v>464</v>
      </c>
      <c r="B413" s="26">
        <v>3.0</v>
      </c>
      <c r="C413" s="26">
        <v>7.5</v>
      </c>
    </row>
    <row r="414">
      <c r="A414" s="16" t="s">
        <v>465</v>
      </c>
      <c r="B414" s="26">
        <v>3.0</v>
      </c>
      <c r="C414" s="26">
        <v>7.5</v>
      </c>
    </row>
    <row r="415">
      <c r="A415" s="16" t="s">
        <v>466</v>
      </c>
      <c r="B415" s="26">
        <v>3.0</v>
      </c>
      <c r="C415" s="26">
        <v>7.5</v>
      </c>
    </row>
    <row r="416">
      <c r="A416" s="16" t="s">
        <v>467</v>
      </c>
      <c r="B416" s="26">
        <v>3.0</v>
      </c>
      <c r="C416" s="26">
        <v>7.5</v>
      </c>
    </row>
    <row r="417">
      <c r="A417" s="16" t="s">
        <v>468</v>
      </c>
      <c r="B417" s="26">
        <v>3.0</v>
      </c>
      <c r="C417" s="26">
        <v>7.5</v>
      </c>
    </row>
    <row r="418">
      <c r="A418" s="16" t="s">
        <v>469</v>
      </c>
      <c r="B418" s="26">
        <v>3.0</v>
      </c>
      <c r="C418" s="26">
        <v>7.5</v>
      </c>
    </row>
    <row r="419">
      <c r="A419" s="16" t="s">
        <v>470</v>
      </c>
      <c r="B419" s="26">
        <v>3.0</v>
      </c>
      <c r="C419" s="26">
        <v>7.5</v>
      </c>
    </row>
    <row r="420">
      <c r="A420" s="16" t="s">
        <v>471</v>
      </c>
      <c r="B420" s="26">
        <v>3.0</v>
      </c>
      <c r="C420" s="26">
        <v>7.5</v>
      </c>
    </row>
    <row r="421">
      <c r="A421" s="16" t="s">
        <v>472</v>
      </c>
      <c r="B421" s="26">
        <v>3.0</v>
      </c>
      <c r="C421" s="26">
        <v>7.5</v>
      </c>
    </row>
    <row r="422">
      <c r="A422" s="16" t="s">
        <v>473</v>
      </c>
      <c r="B422" s="26">
        <v>3.0</v>
      </c>
      <c r="C422" s="26">
        <v>7.5</v>
      </c>
    </row>
    <row r="423">
      <c r="A423" s="16" t="s">
        <v>474</v>
      </c>
      <c r="B423" s="26">
        <v>3.0</v>
      </c>
      <c r="C423" s="26">
        <v>7.5</v>
      </c>
    </row>
    <row r="424">
      <c r="A424" s="16" t="s">
        <v>475</v>
      </c>
      <c r="B424" s="26">
        <v>3.0</v>
      </c>
      <c r="C424" s="26">
        <v>7.5</v>
      </c>
    </row>
    <row r="425">
      <c r="A425" s="16" t="s">
        <v>476</v>
      </c>
      <c r="B425" s="26">
        <v>3.0</v>
      </c>
      <c r="C425" s="26">
        <v>7.5</v>
      </c>
    </row>
    <row r="426">
      <c r="A426" s="16" t="s">
        <v>477</v>
      </c>
      <c r="B426" s="26">
        <v>3.0</v>
      </c>
      <c r="C426" s="26">
        <v>7.5</v>
      </c>
    </row>
    <row r="427">
      <c r="A427" s="16" t="s">
        <v>478</v>
      </c>
      <c r="B427" s="26">
        <v>3.0</v>
      </c>
      <c r="C427" s="26">
        <v>7.5</v>
      </c>
    </row>
    <row r="428">
      <c r="A428" s="16" t="s">
        <v>479</v>
      </c>
      <c r="B428" s="26">
        <v>3.0</v>
      </c>
      <c r="C428" s="26">
        <v>7.5</v>
      </c>
    </row>
    <row r="429">
      <c r="A429" s="16" t="s">
        <v>480</v>
      </c>
      <c r="B429" s="26">
        <v>3.0</v>
      </c>
      <c r="C429" s="26">
        <v>7.5</v>
      </c>
    </row>
    <row r="430">
      <c r="A430" s="16" t="s">
        <v>481</v>
      </c>
      <c r="B430" s="26">
        <v>3.0</v>
      </c>
      <c r="C430" s="26">
        <v>7.5</v>
      </c>
    </row>
    <row r="431">
      <c r="A431" s="16" t="s">
        <v>482</v>
      </c>
      <c r="B431" s="26">
        <v>3.0</v>
      </c>
      <c r="C431" s="26">
        <v>7.5</v>
      </c>
    </row>
    <row r="432">
      <c r="A432" s="16" t="s">
        <v>483</v>
      </c>
      <c r="B432" s="26">
        <v>3.0</v>
      </c>
      <c r="C432" s="26">
        <v>7.5</v>
      </c>
    </row>
    <row r="433">
      <c r="A433" s="16" t="s">
        <v>484</v>
      </c>
      <c r="B433" s="26">
        <v>3.0</v>
      </c>
      <c r="C433" s="26">
        <v>7.5</v>
      </c>
    </row>
    <row r="434">
      <c r="A434" s="16" t="s">
        <v>485</v>
      </c>
      <c r="B434" s="26">
        <v>3.0</v>
      </c>
      <c r="C434" s="26">
        <v>7.5</v>
      </c>
    </row>
    <row r="435">
      <c r="A435" s="16" t="s">
        <v>486</v>
      </c>
      <c r="B435" s="26">
        <v>3.0</v>
      </c>
      <c r="C435" s="26">
        <v>7.5</v>
      </c>
    </row>
    <row r="436">
      <c r="A436" s="16" t="s">
        <v>487</v>
      </c>
      <c r="B436" s="26">
        <v>3.0</v>
      </c>
      <c r="C436" s="26">
        <v>7.5</v>
      </c>
    </row>
    <row r="437">
      <c r="A437" s="16" t="s">
        <v>488</v>
      </c>
      <c r="B437" s="26">
        <v>3.0</v>
      </c>
      <c r="C437" s="26">
        <v>7.5</v>
      </c>
    </row>
    <row r="438">
      <c r="A438" s="16" t="s">
        <v>489</v>
      </c>
      <c r="B438" s="26">
        <v>3.0</v>
      </c>
      <c r="C438" s="26">
        <v>7.5</v>
      </c>
    </row>
    <row r="439">
      <c r="A439" s="16" t="s">
        <v>490</v>
      </c>
      <c r="B439" s="26">
        <v>3.0</v>
      </c>
      <c r="C439" s="26">
        <v>7.5</v>
      </c>
    </row>
    <row r="440">
      <c r="A440" s="16" t="s">
        <v>491</v>
      </c>
      <c r="B440" s="26">
        <v>3.0</v>
      </c>
      <c r="C440" s="26">
        <v>7.5</v>
      </c>
    </row>
    <row r="441">
      <c r="A441" s="16" t="s">
        <v>492</v>
      </c>
      <c r="B441" s="26">
        <v>3.0</v>
      </c>
      <c r="C441" s="26">
        <v>7.5</v>
      </c>
    </row>
    <row r="442">
      <c r="A442" s="16" t="s">
        <v>493</v>
      </c>
      <c r="B442" s="26">
        <v>3.0</v>
      </c>
      <c r="C442" s="26">
        <v>7.5</v>
      </c>
    </row>
    <row r="443">
      <c r="A443" s="16" t="s">
        <v>494</v>
      </c>
      <c r="B443" s="26">
        <v>3.0</v>
      </c>
      <c r="C443" s="26">
        <v>7.5</v>
      </c>
    </row>
    <row r="444">
      <c r="A444" s="16" t="s">
        <v>495</v>
      </c>
      <c r="B444" s="26">
        <v>3.0</v>
      </c>
      <c r="C444" s="26">
        <v>7.5</v>
      </c>
    </row>
    <row r="445">
      <c r="A445" s="16" t="s">
        <v>496</v>
      </c>
      <c r="B445" s="26">
        <v>3.0</v>
      </c>
      <c r="C445" s="26">
        <v>7.5</v>
      </c>
    </row>
    <row r="446">
      <c r="A446" s="16" t="s">
        <v>497</v>
      </c>
      <c r="B446" s="26">
        <v>3.0</v>
      </c>
      <c r="C446" s="26">
        <v>7.5</v>
      </c>
    </row>
    <row r="447">
      <c r="A447" s="16" t="s">
        <v>498</v>
      </c>
      <c r="B447" s="26">
        <v>3.0</v>
      </c>
      <c r="C447" s="26">
        <v>7.5</v>
      </c>
    </row>
    <row r="448">
      <c r="A448" s="16" t="s">
        <v>499</v>
      </c>
      <c r="B448" s="26">
        <v>3.0</v>
      </c>
      <c r="C448" s="26">
        <v>7.5</v>
      </c>
    </row>
    <row r="449">
      <c r="A449" s="16" t="s">
        <v>500</v>
      </c>
      <c r="B449" s="26">
        <v>3.0</v>
      </c>
      <c r="C449" s="26">
        <v>7.5</v>
      </c>
    </row>
    <row r="450">
      <c r="A450" s="16" t="s">
        <v>501</v>
      </c>
      <c r="B450" s="26">
        <v>3.0</v>
      </c>
      <c r="C450" s="26">
        <v>7.5</v>
      </c>
    </row>
    <row r="451">
      <c r="A451" s="16" t="s">
        <v>502</v>
      </c>
      <c r="B451" s="26">
        <v>3.0</v>
      </c>
      <c r="C451" s="26">
        <v>7.5</v>
      </c>
    </row>
    <row r="452">
      <c r="A452" s="16" t="s">
        <v>503</v>
      </c>
      <c r="B452" s="26">
        <v>3.0</v>
      </c>
      <c r="C452" s="26">
        <v>7.5</v>
      </c>
    </row>
    <row r="453">
      <c r="A453" s="16" t="s">
        <v>504</v>
      </c>
      <c r="B453" s="26">
        <v>3.0</v>
      </c>
      <c r="C453" s="26">
        <v>7.5</v>
      </c>
    </row>
    <row r="454">
      <c r="A454" s="16" t="s">
        <v>505</v>
      </c>
      <c r="B454" s="26">
        <v>3.0</v>
      </c>
      <c r="C454" s="26">
        <v>7.5</v>
      </c>
    </row>
    <row r="455">
      <c r="A455" s="16" t="s">
        <v>506</v>
      </c>
      <c r="B455" s="26">
        <v>3.0</v>
      </c>
      <c r="C455" s="26">
        <v>7.5</v>
      </c>
    </row>
    <row r="456">
      <c r="A456" s="16" t="s">
        <v>507</v>
      </c>
      <c r="B456" s="26">
        <v>3.0</v>
      </c>
      <c r="C456" s="26">
        <v>7.5</v>
      </c>
    </row>
    <row r="457">
      <c r="A457" s="16" t="s">
        <v>508</v>
      </c>
      <c r="B457" s="26">
        <v>3.0</v>
      </c>
      <c r="C457" s="26">
        <v>7.5</v>
      </c>
    </row>
    <row r="458">
      <c r="A458" s="16" t="s">
        <v>509</v>
      </c>
      <c r="B458" s="26">
        <v>3.0</v>
      </c>
      <c r="C458" s="26">
        <v>7.5</v>
      </c>
    </row>
    <row r="459">
      <c r="A459" s="16" t="s">
        <v>510</v>
      </c>
      <c r="B459" s="26">
        <v>3.0</v>
      </c>
      <c r="C459" s="26">
        <v>7.5</v>
      </c>
    </row>
    <row r="460">
      <c r="A460" s="16" t="s">
        <v>511</v>
      </c>
      <c r="B460" s="26">
        <v>3.0</v>
      </c>
      <c r="C460" s="26">
        <v>7.5</v>
      </c>
    </row>
    <row r="461">
      <c r="A461" s="16" t="s">
        <v>512</v>
      </c>
      <c r="B461" s="26">
        <v>3.0</v>
      </c>
      <c r="C461" s="26">
        <v>7.5</v>
      </c>
    </row>
    <row r="462">
      <c r="A462" s="16" t="s">
        <v>513</v>
      </c>
      <c r="B462" s="26">
        <v>3.0</v>
      </c>
      <c r="C462" s="26">
        <v>7.5</v>
      </c>
    </row>
    <row r="463">
      <c r="A463" s="16" t="s">
        <v>514</v>
      </c>
      <c r="B463" s="26">
        <v>3.0</v>
      </c>
      <c r="C463" s="26">
        <v>7.5</v>
      </c>
    </row>
    <row r="464">
      <c r="A464" s="16" t="s">
        <v>515</v>
      </c>
      <c r="B464" s="26">
        <v>3.0</v>
      </c>
      <c r="C464" s="26">
        <v>7.5</v>
      </c>
    </row>
    <row r="465">
      <c r="A465" s="16" t="s">
        <v>516</v>
      </c>
      <c r="B465" s="26">
        <v>3.0</v>
      </c>
      <c r="C465" s="26">
        <v>7.5</v>
      </c>
    </row>
    <row r="466">
      <c r="A466" s="16" t="s">
        <v>517</v>
      </c>
      <c r="B466" s="26">
        <v>3.0</v>
      </c>
      <c r="C466" s="26">
        <v>7.5</v>
      </c>
    </row>
    <row r="467">
      <c r="A467" s="16" t="s">
        <v>518</v>
      </c>
      <c r="B467" s="26">
        <v>3.0</v>
      </c>
      <c r="C467" s="26">
        <v>7.5</v>
      </c>
    </row>
    <row r="468">
      <c r="A468" s="16" t="s">
        <v>519</v>
      </c>
      <c r="B468" s="26">
        <v>3.0</v>
      </c>
      <c r="C468" s="26">
        <v>7.5</v>
      </c>
    </row>
    <row r="469">
      <c r="A469" s="16" t="s">
        <v>520</v>
      </c>
      <c r="B469" s="26">
        <v>3.0</v>
      </c>
      <c r="C469" s="26">
        <v>7.5</v>
      </c>
    </row>
    <row r="470">
      <c r="A470" s="16" t="s">
        <v>521</v>
      </c>
      <c r="B470" s="26">
        <v>3.0</v>
      </c>
      <c r="C470" s="26">
        <v>7.5</v>
      </c>
    </row>
    <row r="471">
      <c r="A471" s="16" t="s">
        <v>522</v>
      </c>
      <c r="B471" s="26">
        <v>3.0</v>
      </c>
      <c r="C471" s="26">
        <v>7.5</v>
      </c>
    </row>
    <row r="472">
      <c r="A472" s="16" t="s">
        <v>523</v>
      </c>
      <c r="B472" s="26">
        <v>3.0</v>
      </c>
      <c r="C472" s="26">
        <v>7.5</v>
      </c>
    </row>
    <row r="473">
      <c r="A473" s="16" t="s">
        <v>524</v>
      </c>
      <c r="B473" s="26">
        <v>3.0</v>
      </c>
      <c r="C473" s="26">
        <v>7.5</v>
      </c>
    </row>
    <row r="474">
      <c r="A474" s="16" t="s">
        <v>525</v>
      </c>
      <c r="B474" s="26">
        <v>3.0</v>
      </c>
      <c r="C474" s="26">
        <v>7.5</v>
      </c>
    </row>
    <row r="475">
      <c r="A475" s="16" t="s">
        <v>526</v>
      </c>
      <c r="B475" s="26">
        <v>3.0</v>
      </c>
      <c r="C475" s="26">
        <v>7.5</v>
      </c>
    </row>
    <row r="476">
      <c r="A476" s="16" t="s">
        <v>527</v>
      </c>
      <c r="B476" s="26">
        <v>3.0</v>
      </c>
      <c r="C476" s="26">
        <v>7.5</v>
      </c>
    </row>
    <row r="477">
      <c r="A477" s="16" t="s">
        <v>528</v>
      </c>
      <c r="B477" s="26">
        <v>3.0</v>
      </c>
      <c r="C477" s="26">
        <v>7.5</v>
      </c>
    </row>
    <row r="478">
      <c r="A478" s="16" t="s">
        <v>529</v>
      </c>
      <c r="B478" s="26">
        <v>3.0</v>
      </c>
      <c r="C478" s="26">
        <v>7.5</v>
      </c>
    </row>
    <row r="479">
      <c r="A479" s="16" t="s">
        <v>530</v>
      </c>
      <c r="B479" s="26">
        <v>3.0</v>
      </c>
      <c r="C479" s="26">
        <v>7.5</v>
      </c>
    </row>
    <row r="480">
      <c r="A480" s="16" t="s">
        <v>531</v>
      </c>
      <c r="B480" s="26">
        <v>3.0</v>
      </c>
      <c r="C480" s="26">
        <v>7.5</v>
      </c>
    </row>
    <row r="481">
      <c r="A481" s="16" t="s">
        <v>532</v>
      </c>
      <c r="B481" s="26">
        <v>3.0</v>
      </c>
      <c r="C481" s="26">
        <v>7.5</v>
      </c>
    </row>
    <row r="482">
      <c r="A482" s="16" t="s">
        <v>533</v>
      </c>
      <c r="B482" s="26">
        <v>3.0</v>
      </c>
      <c r="C482" s="26">
        <v>7.5</v>
      </c>
    </row>
    <row r="483">
      <c r="A483" s="16" t="s">
        <v>534</v>
      </c>
      <c r="B483" s="26">
        <v>3.0</v>
      </c>
      <c r="C483" s="26">
        <v>7.5</v>
      </c>
    </row>
    <row r="484">
      <c r="A484" s="16" t="s">
        <v>535</v>
      </c>
      <c r="B484" s="26">
        <v>3.0</v>
      </c>
      <c r="C484" s="26">
        <v>7.5</v>
      </c>
    </row>
    <row r="485">
      <c r="A485" s="16" t="s">
        <v>536</v>
      </c>
      <c r="B485" s="26">
        <v>3.0</v>
      </c>
      <c r="C485" s="26">
        <v>7.5</v>
      </c>
    </row>
    <row r="486">
      <c r="A486" s="16" t="s">
        <v>537</v>
      </c>
      <c r="B486" s="26">
        <v>3.0</v>
      </c>
      <c r="C486" s="26">
        <v>7.5</v>
      </c>
    </row>
    <row r="487">
      <c r="A487" s="16" t="s">
        <v>538</v>
      </c>
      <c r="B487" s="26">
        <v>3.0</v>
      </c>
      <c r="C487" s="26">
        <v>7.5</v>
      </c>
    </row>
    <row r="488">
      <c r="A488" s="16" t="s">
        <v>539</v>
      </c>
      <c r="B488" s="26">
        <v>3.0</v>
      </c>
      <c r="C488" s="26">
        <v>7.5</v>
      </c>
    </row>
    <row r="489">
      <c r="A489" s="16" t="s">
        <v>540</v>
      </c>
      <c r="B489" s="26">
        <v>3.0</v>
      </c>
      <c r="C489" s="26">
        <v>7.5</v>
      </c>
    </row>
    <row r="490">
      <c r="A490" s="16" t="s">
        <v>541</v>
      </c>
      <c r="B490" s="26">
        <v>3.0</v>
      </c>
      <c r="C490" s="26">
        <v>7.5</v>
      </c>
    </row>
    <row r="491">
      <c r="A491" s="16" t="s">
        <v>542</v>
      </c>
      <c r="B491" s="26">
        <v>3.0</v>
      </c>
      <c r="C491" s="26">
        <v>7.5</v>
      </c>
    </row>
    <row r="492">
      <c r="A492" s="16" t="s">
        <v>543</v>
      </c>
      <c r="B492" s="26">
        <v>3.0</v>
      </c>
      <c r="C492" s="26">
        <v>7.5</v>
      </c>
    </row>
    <row r="493">
      <c r="A493" s="16" t="s">
        <v>544</v>
      </c>
      <c r="B493" s="26">
        <v>3.0</v>
      </c>
      <c r="C493" s="26">
        <v>7.5</v>
      </c>
    </row>
    <row r="494">
      <c r="A494" s="16" t="s">
        <v>545</v>
      </c>
      <c r="B494" s="26">
        <v>3.0</v>
      </c>
      <c r="C494" s="26">
        <v>7.5</v>
      </c>
    </row>
    <row r="495">
      <c r="A495" s="16" t="s">
        <v>546</v>
      </c>
      <c r="B495" s="26">
        <v>3.0</v>
      </c>
      <c r="C495" s="26">
        <v>7.5</v>
      </c>
    </row>
    <row r="496">
      <c r="A496" s="16" t="s">
        <v>547</v>
      </c>
      <c r="B496" s="26">
        <v>3.0</v>
      </c>
      <c r="C496" s="26">
        <v>7.5</v>
      </c>
    </row>
    <row r="497">
      <c r="A497" s="16"/>
      <c r="B497" s="26"/>
      <c r="C497" s="26"/>
    </row>
    <row r="498">
      <c r="A498" s="16"/>
      <c r="B498" s="26"/>
      <c r="C498" s="26"/>
    </row>
    <row r="499">
      <c r="A499" s="16"/>
      <c r="B499" s="26"/>
      <c r="C499" s="26"/>
    </row>
    <row r="500">
      <c r="A500" s="16"/>
      <c r="B500" s="43"/>
      <c r="C500" s="43"/>
    </row>
    <row r="501">
      <c r="A501" s="16"/>
      <c r="B501" s="43"/>
      <c r="C501" s="43"/>
    </row>
    <row r="502">
      <c r="A502" s="16"/>
      <c r="B502" s="43"/>
      <c r="C502" s="43"/>
    </row>
    <row r="503">
      <c r="A503" s="16"/>
      <c r="B503" s="43"/>
      <c r="C503" s="43"/>
    </row>
    <row r="504">
      <c r="A504" s="16"/>
      <c r="B504" s="43"/>
      <c r="C504" s="43"/>
    </row>
    <row r="505">
      <c r="A505" s="16"/>
      <c r="B505" s="43"/>
      <c r="C505" s="43"/>
    </row>
    <row r="506">
      <c r="A506" s="16"/>
      <c r="B506" s="43"/>
      <c r="C506" s="43"/>
    </row>
    <row r="507">
      <c r="A507" s="16"/>
      <c r="B507" s="43"/>
      <c r="C507" s="43"/>
    </row>
    <row r="508">
      <c r="A508" s="16"/>
      <c r="B508" s="43"/>
      <c r="C508" s="43"/>
    </row>
    <row r="509">
      <c r="A509" s="16"/>
      <c r="B509" s="43"/>
      <c r="C509" s="43"/>
    </row>
    <row r="510">
      <c r="A510" s="16"/>
      <c r="B510" s="43"/>
      <c r="C510" s="43"/>
    </row>
    <row r="511">
      <c r="A511" s="16"/>
      <c r="B511" s="43"/>
      <c r="C511" s="43"/>
    </row>
    <row r="512">
      <c r="A512" s="16"/>
      <c r="B512" s="43"/>
      <c r="C512" s="43"/>
    </row>
    <row r="513">
      <c r="A513" s="16"/>
      <c r="B513" s="43"/>
      <c r="C513" s="43"/>
    </row>
    <row r="514">
      <c r="A514" s="16"/>
      <c r="B514" s="43"/>
      <c r="C514" s="43"/>
    </row>
    <row r="515">
      <c r="A515" s="16"/>
      <c r="B515" s="43"/>
      <c r="C515" s="43"/>
    </row>
    <row r="516">
      <c r="A516" s="16"/>
      <c r="B516" s="43"/>
      <c r="C516" s="43"/>
    </row>
    <row r="517">
      <c r="A517" s="16"/>
      <c r="B517" s="43"/>
      <c r="C517" s="43"/>
    </row>
    <row r="518">
      <c r="A518" s="16"/>
      <c r="B518" s="43"/>
      <c r="C518" s="43"/>
    </row>
    <row r="519">
      <c r="A519" s="16"/>
      <c r="B519" s="43"/>
      <c r="C519" s="43"/>
    </row>
    <row r="520">
      <c r="A520" s="16"/>
      <c r="B520" s="43"/>
      <c r="C520" s="43"/>
    </row>
    <row r="521">
      <c r="A521" s="16"/>
      <c r="B521" s="43"/>
      <c r="C521" s="43"/>
    </row>
    <row r="522">
      <c r="A522" s="16"/>
      <c r="B522" s="43"/>
      <c r="C522" s="43"/>
    </row>
    <row r="523">
      <c r="A523" s="16"/>
      <c r="B523" s="43"/>
      <c r="C523" s="43"/>
    </row>
    <row r="524">
      <c r="A524" s="16"/>
      <c r="B524" s="43"/>
      <c r="C524" s="43"/>
    </row>
    <row r="525">
      <c r="A525" s="16"/>
      <c r="B525" s="43"/>
      <c r="C525" s="43"/>
    </row>
    <row r="526">
      <c r="A526" s="16"/>
      <c r="B526" s="43"/>
      <c r="C526" s="43"/>
    </row>
    <row r="527">
      <c r="A527" s="16"/>
      <c r="B527" s="43"/>
      <c r="C527" s="43"/>
    </row>
    <row r="528">
      <c r="A528" s="16"/>
      <c r="B528" s="43"/>
      <c r="C528" s="43"/>
    </row>
    <row r="529">
      <c r="A529" s="16"/>
      <c r="B529" s="43"/>
      <c r="C529" s="43"/>
    </row>
    <row r="530">
      <c r="A530" s="16"/>
      <c r="B530" s="43"/>
      <c r="C530" s="43"/>
    </row>
    <row r="531">
      <c r="A531" s="16"/>
      <c r="B531" s="43"/>
      <c r="C531" s="43"/>
    </row>
    <row r="532">
      <c r="A532" s="16"/>
      <c r="B532" s="43"/>
      <c r="C532" s="43"/>
    </row>
    <row r="533">
      <c r="A533" s="16"/>
      <c r="B533" s="43"/>
      <c r="C533" s="43"/>
    </row>
    <row r="534">
      <c r="A534" s="16"/>
      <c r="B534" s="43"/>
      <c r="C534" s="43"/>
    </row>
    <row r="535">
      <c r="A535" s="16"/>
      <c r="B535" s="43"/>
      <c r="C535" s="43"/>
    </row>
    <row r="536">
      <c r="A536" s="16"/>
      <c r="B536" s="43"/>
      <c r="C536" s="43"/>
    </row>
    <row r="537">
      <c r="A537" s="16"/>
      <c r="B537" s="43"/>
      <c r="C537" s="43"/>
    </row>
    <row r="538">
      <c r="A538" s="16"/>
      <c r="B538" s="43"/>
      <c r="C538" s="43"/>
    </row>
    <row r="539">
      <c r="A539" s="16"/>
      <c r="B539" s="43"/>
      <c r="C539" s="43"/>
    </row>
    <row r="540">
      <c r="A540" s="16"/>
      <c r="B540" s="43"/>
      <c r="C540" s="43"/>
    </row>
    <row r="541">
      <c r="A541" s="16"/>
      <c r="B541" s="43"/>
      <c r="C541" s="43"/>
    </row>
    <row r="542">
      <c r="A542" s="16"/>
      <c r="B542" s="43"/>
      <c r="C542" s="43"/>
    </row>
    <row r="543">
      <c r="A543" s="16"/>
      <c r="B543" s="43"/>
      <c r="C543" s="43"/>
    </row>
    <row r="544">
      <c r="A544" s="16"/>
      <c r="B544" s="43"/>
      <c r="C544" s="43"/>
    </row>
    <row r="545">
      <c r="A545" s="16"/>
      <c r="B545" s="43"/>
      <c r="C545" s="43"/>
    </row>
    <row r="546">
      <c r="A546" s="16"/>
      <c r="B546" s="43"/>
      <c r="C546" s="43"/>
    </row>
    <row r="547">
      <c r="A547" s="16"/>
      <c r="B547" s="43"/>
      <c r="C547" s="43"/>
    </row>
    <row r="548">
      <c r="A548" s="16"/>
      <c r="B548" s="43"/>
      <c r="C548" s="43"/>
    </row>
    <row r="549">
      <c r="A549" s="16"/>
      <c r="B549" s="43"/>
      <c r="C549" s="43"/>
    </row>
    <row r="550">
      <c r="A550" s="16"/>
      <c r="B550" s="43"/>
      <c r="C550" s="43"/>
    </row>
    <row r="551">
      <c r="A551" s="16"/>
      <c r="B551" s="43"/>
      <c r="C551" s="43"/>
    </row>
    <row r="552">
      <c r="A552" s="16"/>
      <c r="B552" s="43"/>
      <c r="C552" s="43"/>
    </row>
    <row r="553">
      <c r="A553" s="16"/>
      <c r="B553" s="43"/>
      <c r="C553" s="43"/>
    </row>
    <row r="554">
      <c r="A554" s="16"/>
      <c r="B554" s="43"/>
      <c r="C554" s="43"/>
    </row>
    <row r="555">
      <c r="A555" s="16"/>
      <c r="B555" s="43"/>
      <c r="C555" s="43"/>
    </row>
    <row r="556">
      <c r="A556" s="16"/>
      <c r="B556" s="43"/>
      <c r="C556" s="43"/>
    </row>
    <row r="557">
      <c r="A557" s="16"/>
      <c r="B557" s="43"/>
      <c r="C557" s="43"/>
    </row>
    <row r="558">
      <c r="A558" s="16"/>
      <c r="B558" s="43"/>
      <c r="C558" s="43"/>
    </row>
    <row r="559">
      <c r="A559" s="16"/>
      <c r="B559" s="43"/>
      <c r="C559" s="43"/>
    </row>
    <row r="560">
      <c r="A560" s="16"/>
      <c r="B560" s="43"/>
      <c r="C560" s="43"/>
    </row>
    <row r="561">
      <c r="A561" s="16"/>
      <c r="B561" s="43"/>
      <c r="C561" s="43"/>
    </row>
    <row r="562">
      <c r="A562" s="16"/>
      <c r="B562" s="43"/>
      <c r="C562" s="43"/>
    </row>
    <row r="563">
      <c r="A563" s="16"/>
      <c r="B563" s="43"/>
      <c r="C563" s="43"/>
    </row>
    <row r="564">
      <c r="A564" s="16"/>
      <c r="B564" s="43"/>
      <c r="C564" s="43"/>
    </row>
    <row r="565">
      <c r="A565" s="16"/>
      <c r="B565" s="43"/>
      <c r="C565" s="43"/>
    </row>
    <row r="566">
      <c r="A566" s="16"/>
      <c r="B566" s="43"/>
      <c r="C566" s="43"/>
    </row>
    <row r="567">
      <c r="A567" s="16"/>
      <c r="B567" s="43"/>
      <c r="C567" s="43"/>
    </row>
    <row r="568">
      <c r="A568" s="16"/>
      <c r="B568" s="43"/>
      <c r="C568" s="43"/>
    </row>
    <row r="569">
      <c r="A569" s="16"/>
      <c r="B569" s="43"/>
      <c r="C569" s="43"/>
    </row>
    <row r="570">
      <c r="A570" s="16"/>
      <c r="B570" s="43"/>
      <c r="C570" s="43"/>
    </row>
    <row r="571">
      <c r="A571" s="16"/>
      <c r="B571" s="43"/>
      <c r="C571" s="43"/>
    </row>
    <row r="572">
      <c r="A572" s="16"/>
      <c r="B572" s="43"/>
      <c r="C572" s="43"/>
    </row>
    <row r="573">
      <c r="A573" s="16"/>
      <c r="B573" s="43"/>
      <c r="C573" s="43"/>
    </row>
    <row r="574">
      <c r="A574" s="16"/>
      <c r="B574" s="43"/>
      <c r="C574" s="43"/>
    </row>
    <row r="575">
      <c r="A575" s="16"/>
      <c r="B575" s="43"/>
      <c r="C575" s="43"/>
    </row>
    <row r="576">
      <c r="A576" s="16"/>
      <c r="B576" s="43"/>
      <c r="C576" s="43"/>
    </row>
    <row r="577">
      <c r="A577" s="16"/>
      <c r="B577" s="43"/>
      <c r="C577" s="43"/>
    </row>
    <row r="578">
      <c r="A578" s="16"/>
      <c r="B578" s="43"/>
      <c r="C578" s="43"/>
    </row>
    <row r="579">
      <c r="A579" s="16"/>
      <c r="B579" s="43"/>
      <c r="C579" s="43"/>
    </row>
    <row r="580">
      <c r="A580" s="16"/>
      <c r="B580" s="43"/>
      <c r="C580" s="43"/>
    </row>
    <row r="581">
      <c r="A581" s="16"/>
      <c r="B581" s="43"/>
      <c r="C581" s="43"/>
    </row>
    <row r="582">
      <c r="A582" s="16"/>
      <c r="B582" s="43"/>
      <c r="C582" s="43"/>
    </row>
    <row r="583">
      <c r="A583" s="16"/>
      <c r="B583" s="43"/>
      <c r="C583" s="43"/>
    </row>
    <row r="584">
      <c r="A584" s="16"/>
      <c r="B584" s="43"/>
      <c r="C584" s="43"/>
    </row>
    <row r="585">
      <c r="A585" s="16"/>
      <c r="B585" s="43"/>
      <c r="C585" s="43"/>
    </row>
    <row r="586">
      <c r="A586" s="16"/>
      <c r="B586" s="43"/>
      <c r="C586" s="43"/>
    </row>
    <row r="587">
      <c r="A587" s="16"/>
      <c r="B587" s="43"/>
      <c r="C587" s="43"/>
    </row>
    <row r="588">
      <c r="A588" s="16"/>
      <c r="B588" s="43"/>
      <c r="C588" s="43"/>
    </row>
    <row r="589">
      <c r="A589" s="16"/>
      <c r="B589" s="43"/>
      <c r="C589" s="43"/>
    </row>
    <row r="590">
      <c r="A590" s="16"/>
      <c r="B590" s="43"/>
      <c r="C590" s="43"/>
    </row>
    <row r="591">
      <c r="A591" s="16"/>
      <c r="B591" s="43"/>
      <c r="C591" s="43"/>
    </row>
    <row r="592">
      <c r="A592" s="16"/>
      <c r="B592" s="43"/>
      <c r="C592" s="43"/>
    </row>
    <row r="593">
      <c r="A593" s="16"/>
      <c r="B593" s="43"/>
      <c r="C593" s="43"/>
    </row>
    <row r="594">
      <c r="A594" s="16"/>
      <c r="B594" s="43"/>
      <c r="C594" s="43"/>
    </row>
    <row r="595">
      <c r="A595" s="16"/>
      <c r="B595" s="43"/>
      <c r="C595" s="43"/>
    </row>
    <row r="596">
      <c r="A596" s="16"/>
      <c r="B596" s="43"/>
      <c r="C596" s="43"/>
    </row>
    <row r="597">
      <c r="A597" s="16"/>
      <c r="B597" s="43"/>
      <c r="C597" s="43"/>
    </row>
    <row r="598">
      <c r="A598" s="16"/>
      <c r="B598" s="43"/>
      <c r="C598" s="43"/>
    </row>
    <row r="599">
      <c r="A599" s="16"/>
      <c r="B599" s="43"/>
      <c r="C599" s="43"/>
    </row>
    <row r="600">
      <c r="A600" s="16"/>
      <c r="B600" s="43"/>
      <c r="C600" s="43"/>
    </row>
    <row r="601">
      <c r="A601" s="16"/>
      <c r="B601" s="43"/>
      <c r="C601" s="43"/>
    </row>
    <row r="602">
      <c r="A602" s="16"/>
      <c r="B602" s="43"/>
      <c r="C602" s="43"/>
    </row>
    <row r="603">
      <c r="A603" s="16"/>
      <c r="B603" s="43"/>
      <c r="C603" s="43"/>
    </row>
    <row r="604">
      <c r="A604" s="16"/>
      <c r="B604" s="43"/>
      <c r="C604" s="43"/>
    </row>
    <row r="605">
      <c r="A605" s="16"/>
      <c r="B605" s="43"/>
      <c r="C605" s="43"/>
    </row>
    <row r="606">
      <c r="A606" s="16"/>
      <c r="B606" s="43"/>
      <c r="C606" s="43"/>
    </row>
    <row r="607">
      <c r="A607" s="16"/>
      <c r="B607" s="43"/>
      <c r="C607" s="43"/>
    </row>
    <row r="608">
      <c r="A608" s="16"/>
      <c r="B608" s="43"/>
      <c r="C608" s="43"/>
    </row>
    <row r="609">
      <c r="A609" s="16"/>
      <c r="B609" s="43"/>
      <c r="C609" s="43"/>
    </row>
    <row r="610">
      <c r="A610" s="16"/>
      <c r="B610" s="43"/>
      <c r="C610" s="43"/>
    </row>
    <row r="611">
      <c r="A611" s="16"/>
      <c r="B611" s="43"/>
      <c r="C611" s="43"/>
    </row>
    <row r="612">
      <c r="A612" s="16"/>
      <c r="B612" s="43"/>
      <c r="C612" s="43"/>
    </row>
    <row r="613">
      <c r="A613" s="16"/>
      <c r="B613" s="43"/>
      <c r="C613" s="43"/>
    </row>
    <row r="614">
      <c r="A614" s="16"/>
      <c r="B614" s="43"/>
      <c r="C614" s="43"/>
    </row>
    <row r="615">
      <c r="A615" s="16"/>
      <c r="B615" s="43"/>
      <c r="C615" s="43"/>
    </row>
    <row r="616">
      <c r="A616" s="16"/>
      <c r="B616" s="43"/>
      <c r="C616" s="43"/>
    </row>
    <row r="617">
      <c r="A617" s="16"/>
      <c r="B617" s="43"/>
      <c r="C617" s="43"/>
    </row>
    <row r="618">
      <c r="A618" s="16"/>
      <c r="B618" s="43"/>
      <c r="C618" s="43"/>
    </row>
    <row r="619">
      <c r="A619" s="16"/>
      <c r="B619" s="43"/>
      <c r="C619" s="43"/>
    </row>
    <row r="620">
      <c r="A620" s="16"/>
      <c r="B620" s="43"/>
      <c r="C620" s="43"/>
    </row>
    <row r="621">
      <c r="A621" s="16"/>
      <c r="B621" s="43"/>
      <c r="C621" s="43"/>
    </row>
    <row r="622">
      <c r="A622" s="16"/>
      <c r="B622" s="43"/>
      <c r="C622" s="43"/>
    </row>
    <row r="623">
      <c r="A623" s="16"/>
      <c r="B623" s="43"/>
      <c r="C623" s="43"/>
    </row>
    <row r="624">
      <c r="A624" s="16"/>
      <c r="B624" s="43"/>
      <c r="C624" s="43"/>
    </row>
    <row r="625">
      <c r="A625" s="16"/>
      <c r="B625" s="43"/>
      <c r="C625" s="43"/>
    </row>
    <row r="626">
      <c r="A626" s="16"/>
      <c r="B626" s="43"/>
      <c r="C626" s="43"/>
    </row>
    <row r="627">
      <c r="A627" s="16"/>
      <c r="B627" s="43"/>
      <c r="C627" s="43"/>
    </row>
    <row r="628">
      <c r="A628" s="16"/>
      <c r="B628" s="43"/>
      <c r="C628" s="43"/>
    </row>
    <row r="629">
      <c r="A629" s="16"/>
      <c r="B629" s="43"/>
      <c r="C629" s="43"/>
    </row>
    <row r="630">
      <c r="A630" s="16"/>
      <c r="B630" s="43"/>
      <c r="C630" s="43"/>
    </row>
    <row r="631">
      <c r="A631" s="16"/>
      <c r="B631" s="43"/>
      <c r="C631" s="43"/>
    </row>
    <row r="632">
      <c r="A632" s="16"/>
      <c r="B632" s="43"/>
      <c r="C632" s="43"/>
    </row>
    <row r="633">
      <c r="A633" s="16"/>
      <c r="B633" s="43"/>
      <c r="C633" s="43"/>
    </row>
    <row r="634">
      <c r="A634" s="16"/>
      <c r="B634" s="43"/>
      <c r="C634" s="43"/>
    </row>
    <row r="635">
      <c r="A635" s="16"/>
      <c r="B635" s="43"/>
      <c r="C635" s="43"/>
    </row>
    <row r="636">
      <c r="A636" s="16"/>
      <c r="B636" s="43"/>
      <c r="C636" s="43"/>
    </row>
    <row r="637">
      <c r="A637" s="16"/>
      <c r="B637" s="43"/>
      <c r="C637" s="43"/>
    </row>
    <row r="638">
      <c r="A638" s="16"/>
      <c r="B638" s="43"/>
      <c r="C638" s="43"/>
    </row>
    <row r="639">
      <c r="A639" s="16"/>
      <c r="B639" s="43"/>
      <c r="C639" s="43"/>
    </row>
    <row r="640">
      <c r="A640" s="16"/>
      <c r="B640" s="43"/>
      <c r="C640" s="43"/>
    </row>
    <row r="641">
      <c r="A641" s="16"/>
      <c r="B641" s="43"/>
      <c r="C641" s="43"/>
    </row>
    <row r="642">
      <c r="A642" s="16"/>
      <c r="B642" s="43"/>
      <c r="C642" s="43"/>
    </row>
    <row r="643">
      <c r="A643" s="16"/>
      <c r="B643" s="43"/>
      <c r="C643" s="43"/>
    </row>
    <row r="644">
      <c r="A644" s="16"/>
      <c r="B644" s="43"/>
      <c r="C644" s="43"/>
    </row>
    <row r="645">
      <c r="A645" s="16"/>
      <c r="B645" s="43"/>
      <c r="C645" s="43"/>
    </row>
    <row r="646">
      <c r="A646" s="16"/>
      <c r="B646" s="43"/>
      <c r="C646" s="43"/>
    </row>
    <row r="647">
      <c r="A647" s="16"/>
      <c r="B647" s="43"/>
      <c r="C647" s="43"/>
    </row>
    <row r="648">
      <c r="A648" s="16"/>
      <c r="B648" s="43"/>
      <c r="C648" s="43"/>
    </row>
    <row r="649">
      <c r="A649" s="16"/>
      <c r="B649" s="43"/>
      <c r="C649" s="43"/>
    </row>
    <row r="650">
      <c r="A650" s="16"/>
      <c r="B650" s="43"/>
      <c r="C650" s="43"/>
    </row>
    <row r="651">
      <c r="A651" s="16"/>
      <c r="B651" s="43"/>
      <c r="C651" s="43"/>
    </row>
    <row r="652">
      <c r="A652" s="16"/>
      <c r="B652" s="43"/>
      <c r="C652" s="43"/>
    </row>
    <row r="653">
      <c r="A653" s="16"/>
      <c r="B653" s="43"/>
      <c r="C653" s="43"/>
    </row>
    <row r="654">
      <c r="A654" s="16"/>
      <c r="B654" s="43"/>
      <c r="C654" s="43"/>
    </row>
    <row r="655">
      <c r="A655" s="16"/>
      <c r="B655" s="43"/>
      <c r="C655" s="43"/>
    </row>
    <row r="656">
      <c r="A656" s="16"/>
      <c r="B656" s="43"/>
      <c r="C656" s="43"/>
    </row>
    <row r="657">
      <c r="A657" s="16"/>
      <c r="B657" s="43"/>
      <c r="C657" s="43"/>
    </row>
    <row r="658">
      <c r="A658" s="16"/>
      <c r="B658" s="43"/>
      <c r="C658" s="43"/>
    </row>
    <row r="659">
      <c r="A659" s="16"/>
      <c r="B659" s="43"/>
      <c r="C659" s="43"/>
    </row>
    <row r="660">
      <c r="A660" s="16"/>
      <c r="B660" s="43"/>
      <c r="C660" s="43"/>
    </row>
    <row r="661">
      <c r="A661" s="16"/>
      <c r="B661" s="43"/>
      <c r="C661" s="43"/>
    </row>
    <row r="662">
      <c r="A662" s="16"/>
      <c r="B662" s="43"/>
      <c r="C662" s="43"/>
    </row>
    <row r="663">
      <c r="A663" s="16"/>
      <c r="B663" s="43"/>
      <c r="C663" s="43"/>
    </row>
    <row r="664">
      <c r="A664" s="16"/>
      <c r="B664" s="43"/>
      <c r="C664" s="43"/>
    </row>
    <row r="665">
      <c r="A665" s="16"/>
      <c r="B665" s="43"/>
      <c r="C665" s="43"/>
    </row>
    <row r="666">
      <c r="A666" s="16"/>
      <c r="B666" s="43"/>
      <c r="C666" s="43"/>
    </row>
    <row r="667">
      <c r="A667" s="16"/>
      <c r="B667" s="43"/>
      <c r="C667" s="43"/>
    </row>
    <row r="668">
      <c r="A668" s="16"/>
      <c r="B668" s="43"/>
      <c r="C668" s="43"/>
    </row>
    <row r="669">
      <c r="A669" s="16"/>
      <c r="B669" s="43"/>
      <c r="C669" s="43"/>
    </row>
    <row r="670">
      <c r="A670" s="16"/>
      <c r="B670" s="43"/>
      <c r="C670" s="43"/>
    </row>
    <row r="671">
      <c r="A671" s="16"/>
      <c r="B671" s="43"/>
      <c r="C671" s="43"/>
    </row>
    <row r="672">
      <c r="A672" s="16"/>
      <c r="B672" s="43"/>
      <c r="C672" s="43"/>
    </row>
    <row r="673">
      <c r="A673" s="16"/>
      <c r="B673" s="43"/>
      <c r="C673" s="43"/>
    </row>
    <row r="674">
      <c r="A674" s="16"/>
      <c r="B674" s="43"/>
      <c r="C674" s="43"/>
    </row>
    <row r="675">
      <c r="A675" s="16"/>
      <c r="B675" s="43"/>
      <c r="C675" s="43"/>
    </row>
    <row r="676">
      <c r="A676" s="16"/>
      <c r="B676" s="43"/>
      <c r="C676" s="43"/>
    </row>
    <row r="677">
      <c r="A677" s="16"/>
      <c r="B677" s="43"/>
      <c r="C677" s="43"/>
    </row>
    <row r="678">
      <c r="A678" s="16"/>
      <c r="B678" s="43"/>
      <c r="C678" s="43"/>
    </row>
    <row r="679">
      <c r="A679" s="16"/>
      <c r="B679" s="43"/>
      <c r="C679" s="43"/>
    </row>
    <row r="680">
      <c r="A680" s="16"/>
      <c r="B680" s="43"/>
      <c r="C680" s="43"/>
    </row>
    <row r="681">
      <c r="A681" s="16"/>
      <c r="B681" s="43"/>
      <c r="C681" s="43"/>
    </row>
    <row r="682">
      <c r="A682" s="16"/>
      <c r="B682" s="43"/>
      <c r="C682" s="43"/>
    </row>
    <row r="683">
      <c r="A683" s="16"/>
      <c r="B683" s="43"/>
      <c r="C683" s="43"/>
    </row>
    <row r="684">
      <c r="A684" s="16"/>
      <c r="B684" s="43"/>
      <c r="C684" s="43"/>
    </row>
    <row r="685">
      <c r="A685" s="16"/>
      <c r="B685" s="43"/>
      <c r="C685" s="43"/>
    </row>
    <row r="686">
      <c r="A686" s="16"/>
      <c r="B686" s="43"/>
      <c r="C686" s="43"/>
    </row>
    <row r="687">
      <c r="A687" s="16"/>
      <c r="B687" s="43"/>
      <c r="C687" s="43"/>
    </row>
    <row r="688">
      <c r="A688" s="16"/>
      <c r="B688" s="43"/>
      <c r="C688" s="43"/>
    </row>
    <row r="689">
      <c r="A689" s="16"/>
      <c r="B689" s="43"/>
      <c r="C689" s="43"/>
    </row>
    <row r="690">
      <c r="A690" s="16"/>
      <c r="B690" s="43"/>
      <c r="C690" s="43"/>
    </row>
    <row r="691">
      <c r="A691" s="16"/>
      <c r="B691" s="43"/>
      <c r="C691" s="43"/>
    </row>
    <row r="692">
      <c r="A692" s="16"/>
      <c r="B692" s="43"/>
      <c r="C692" s="43"/>
    </row>
    <row r="693">
      <c r="A693" s="16"/>
      <c r="B693" s="43"/>
      <c r="C693" s="43"/>
    </row>
    <row r="694">
      <c r="A694" s="16"/>
      <c r="B694" s="43"/>
      <c r="C694" s="43"/>
    </row>
    <row r="695">
      <c r="A695" s="16"/>
      <c r="B695" s="43"/>
      <c r="C695" s="43"/>
    </row>
    <row r="696">
      <c r="A696" s="16"/>
      <c r="B696" s="43"/>
      <c r="C696" s="43"/>
    </row>
    <row r="697">
      <c r="A697" s="16"/>
      <c r="B697" s="43"/>
      <c r="C697" s="43"/>
    </row>
    <row r="698">
      <c r="A698" s="16"/>
      <c r="B698" s="43"/>
      <c r="C698" s="43"/>
    </row>
    <row r="699">
      <c r="A699" s="16"/>
      <c r="B699" s="43"/>
      <c r="C699" s="43"/>
    </row>
    <row r="700">
      <c r="A700" s="16"/>
      <c r="B700" s="43"/>
      <c r="C700" s="43"/>
    </row>
    <row r="701">
      <c r="A701" s="16"/>
      <c r="B701" s="43"/>
      <c r="C701" s="43"/>
    </row>
    <row r="702">
      <c r="A702" s="16"/>
      <c r="B702" s="43"/>
      <c r="C702" s="43"/>
    </row>
    <row r="703">
      <c r="A703" s="16"/>
      <c r="B703" s="43"/>
      <c r="C703" s="43"/>
    </row>
    <row r="704">
      <c r="A704" s="16"/>
      <c r="B704" s="43"/>
      <c r="C704" s="43"/>
    </row>
    <row r="705">
      <c r="A705" s="16"/>
      <c r="B705" s="43"/>
      <c r="C705" s="43"/>
    </row>
    <row r="706">
      <c r="A706" s="16"/>
      <c r="B706" s="43"/>
      <c r="C706" s="43"/>
    </row>
    <row r="707">
      <c r="A707" s="16"/>
      <c r="B707" s="43"/>
      <c r="C707" s="43"/>
    </row>
    <row r="708">
      <c r="A708" s="16"/>
      <c r="B708" s="43"/>
      <c r="C708" s="43"/>
    </row>
    <row r="709">
      <c r="A709" s="16"/>
      <c r="B709" s="43"/>
      <c r="C709" s="43"/>
    </row>
    <row r="710">
      <c r="A710" s="16"/>
      <c r="B710" s="43"/>
      <c r="C710" s="43"/>
    </row>
    <row r="711">
      <c r="A711" s="16"/>
      <c r="B711" s="43"/>
      <c r="C711" s="43"/>
    </row>
    <row r="712">
      <c r="A712" s="16"/>
      <c r="B712" s="43"/>
      <c r="C712" s="43"/>
    </row>
    <row r="713">
      <c r="A713" s="16"/>
      <c r="B713" s="43"/>
      <c r="C713" s="43"/>
    </row>
    <row r="714">
      <c r="A714" s="16"/>
      <c r="B714" s="43"/>
      <c r="C714" s="43"/>
    </row>
    <row r="715">
      <c r="A715" s="16"/>
      <c r="B715" s="43"/>
      <c r="C715" s="43"/>
    </row>
    <row r="716">
      <c r="A716" s="16"/>
      <c r="B716" s="43"/>
      <c r="C716" s="43"/>
    </row>
    <row r="717">
      <c r="A717" s="16"/>
      <c r="B717" s="43"/>
      <c r="C717" s="43"/>
    </row>
    <row r="718">
      <c r="A718" s="16"/>
      <c r="B718" s="43"/>
      <c r="C718" s="43"/>
    </row>
    <row r="719">
      <c r="A719" s="16"/>
      <c r="B719" s="43"/>
      <c r="C719" s="43"/>
    </row>
    <row r="720">
      <c r="A720" s="16"/>
      <c r="B720" s="43"/>
      <c r="C720" s="43"/>
    </row>
    <row r="721">
      <c r="A721" s="16"/>
      <c r="B721" s="43"/>
      <c r="C721" s="43"/>
    </row>
    <row r="722">
      <c r="A722" s="16"/>
      <c r="B722" s="43"/>
      <c r="C722" s="43"/>
    </row>
    <row r="723">
      <c r="A723" s="16"/>
      <c r="B723" s="43"/>
      <c r="C723" s="43"/>
    </row>
    <row r="724">
      <c r="A724" s="16"/>
      <c r="B724" s="43"/>
      <c r="C724" s="43"/>
    </row>
    <row r="725">
      <c r="A725" s="16"/>
      <c r="B725" s="43"/>
      <c r="C725" s="43"/>
    </row>
    <row r="726">
      <c r="A726" s="16"/>
      <c r="B726" s="43"/>
      <c r="C726" s="43"/>
    </row>
    <row r="727">
      <c r="A727" s="16"/>
      <c r="B727" s="43"/>
      <c r="C727" s="43"/>
    </row>
    <row r="728">
      <c r="A728" s="16"/>
      <c r="B728" s="43"/>
      <c r="C728" s="43"/>
    </row>
    <row r="729">
      <c r="A729" s="16"/>
      <c r="B729" s="43"/>
      <c r="C729" s="43"/>
    </row>
    <row r="730">
      <c r="A730" s="16"/>
      <c r="B730" s="43"/>
      <c r="C730" s="43"/>
    </row>
    <row r="731">
      <c r="A731" s="16"/>
      <c r="B731" s="43"/>
      <c r="C731" s="43"/>
    </row>
    <row r="732">
      <c r="A732" s="16"/>
      <c r="B732" s="43"/>
      <c r="C732" s="43"/>
    </row>
    <row r="733">
      <c r="A733" s="16"/>
      <c r="B733" s="43"/>
      <c r="C733" s="43"/>
    </row>
    <row r="734">
      <c r="A734" s="16"/>
      <c r="B734" s="43"/>
      <c r="C734" s="43"/>
    </row>
    <row r="735">
      <c r="A735" s="16"/>
      <c r="B735" s="43"/>
      <c r="C735" s="43"/>
    </row>
    <row r="736">
      <c r="A736" s="16"/>
      <c r="B736" s="43"/>
      <c r="C736" s="43"/>
    </row>
    <row r="737">
      <c r="A737" s="16"/>
      <c r="B737" s="43"/>
      <c r="C737" s="43"/>
    </row>
    <row r="738">
      <c r="A738" s="16"/>
      <c r="B738" s="43"/>
      <c r="C738" s="43"/>
    </row>
    <row r="739">
      <c r="A739" s="16"/>
      <c r="B739" s="43"/>
      <c r="C739" s="43"/>
    </row>
    <row r="740">
      <c r="A740" s="16"/>
      <c r="B740" s="43"/>
      <c r="C740" s="43"/>
    </row>
    <row r="741">
      <c r="A741" s="16"/>
      <c r="B741" s="43"/>
      <c r="C741" s="43"/>
    </row>
    <row r="742">
      <c r="A742" s="16"/>
      <c r="B742" s="43"/>
      <c r="C742" s="43"/>
    </row>
    <row r="743">
      <c r="A743" s="16"/>
      <c r="B743" s="43"/>
      <c r="C743" s="43"/>
    </row>
    <row r="744">
      <c r="A744" s="16"/>
      <c r="B744" s="43"/>
      <c r="C744" s="43"/>
    </row>
    <row r="745">
      <c r="A745" s="16"/>
      <c r="B745" s="43"/>
      <c r="C745" s="43"/>
    </row>
    <row r="746">
      <c r="A746" s="16"/>
      <c r="B746" s="43"/>
      <c r="C746" s="43"/>
    </row>
    <row r="747">
      <c r="A747" s="16"/>
      <c r="B747" s="43"/>
      <c r="C747" s="43"/>
    </row>
    <row r="748">
      <c r="A748" s="16"/>
      <c r="B748" s="43"/>
      <c r="C748" s="43"/>
    </row>
    <row r="749">
      <c r="A749" s="16"/>
      <c r="B749" s="43"/>
      <c r="C749" s="43"/>
    </row>
    <row r="750">
      <c r="A750" s="16"/>
      <c r="B750" s="43"/>
      <c r="C750" s="43"/>
    </row>
    <row r="751">
      <c r="A751" s="16"/>
      <c r="B751" s="43"/>
      <c r="C751" s="43"/>
    </row>
    <row r="752">
      <c r="A752" s="16"/>
      <c r="B752" s="43"/>
      <c r="C752" s="43"/>
    </row>
    <row r="753">
      <c r="A753" s="16"/>
      <c r="B753" s="43"/>
      <c r="C753" s="43"/>
    </row>
    <row r="754">
      <c r="A754" s="16"/>
      <c r="B754" s="43"/>
      <c r="C754" s="43"/>
    </row>
    <row r="755">
      <c r="A755" s="16"/>
      <c r="B755" s="43"/>
      <c r="C755" s="43"/>
    </row>
    <row r="756">
      <c r="A756" s="16"/>
      <c r="B756" s="43"/>
      <c r="C756" s="43"/>
    </row>
    <row r="757">
      <c r="A757" s="16"/>
      <c r="B757" s="43"/>
      <c r="C757" s="43"/>
    </row>
    <row r="758">
      <c r="A758" s="16"/>
      <c r="B758" s="43"/>
      <c r="C758" s="43"/>
    </row>
    <row r="759">
      <c r="A759" s="16"/>
      <c r="B759" s="43"/>
      <c r="C759" s="43"/>
    </row>
    <row r="760">
      <c r="A760" s="16"/>
      <c r="B760" s="43"/>
      <c r="C760" s="43"/>
    </row>
    <row r="761">
      <c r="A761" s="16"/>
      <c r="B761" s="43"/>
      <c r="C761" s="43"/>
    </row>
    <row r="762">
      <c r="A762" s="16"/>
      <c r="B762" s="43"/>
      <c r="C762" s="43"/>
    </row>
    <row r="763">
      <c r="A763" s="16"/>
      <c r="B763" s="43"/>
      <c r="C763" s="43"/>
    </row>
    <row r="764">
      <c r="A764" s="16"/>
      <c r="B764" s="43"/>
      <c r="C764" s="43"/>
    </row>
    <row r="765">
      <c r="A765" s="16"/>
      <c r="B765" s="43"/>
      <c r="C765" s="43"/>
    </row>
    <row r="766">
      <c r="A766" s="16"/>
      <c r="B766" s="43"/>
      <c r="C766" s="43"/>
    </row>
    <row r="767">
      <c r="A767" s="16"/>
      <c r="B767" s="43"/>
      <c r="C767" s="43"/>
    </row>
    <row r="768">
      <c r="A768" s="16"/>
      <c r="B768" s="43"/>
      <c r="C768" s="43"/>
    </row>
    <row r="769">
      <c r="A769" s="16"/>
      <c r="B769" s="43"/>
      <c r="C769" s="43"/>
    </row>
    <row r="770">
      <c r="A770" s="16"/>
      <c r="B770" s="43"/>
      <c r="C770" s="43"/>
    </row>
    <row r="771">
      <c r="A771" s="16"/>
      <c r="B771" s="43"/>
      <c r="C771" s="43"/>
    </row>
    <row r="772">
      <c r="A772" s="16"/>
      <c r="B772" s="43"/>
      <c r="C772" s="43"/>
    </row>
    <row r="773">
      <c r="A773" s="16"/>
      <c r="B773" s="43"/>
      <c r="C773" s="43"/>
    </row>
    <row r="774">
      <c r="A774" s="16"/>
      <c r="B774" s="43"/>
      <c r="C774" s="43"/>
    </row>
    <row r="775">
      <c r="A775" s="16"/>
      <c r="B775" s="43"/>
      <c r="C775" s="43"/>
    </row>
    <row r="776">
      <c r="A776" s="16"/>
      <c r="B776" s="43"/>
      <c r="C776" s="43"/>
    </row>
    <row r="777">
      <c r="A777" s="16"/>
      <c r="B777" s="43"/>
      <c r="C777" s="43"/>
    </row>
    <row r="778">
      <c r="A778" s="16"/>
      <c r="B778" s="43"/>
      <c r="C778" s="43"/>
    </row>
    <row r="779">
      <c r="A779" s="16"/>
      <c r="B779" s="43"/>
      <c r="C779" s="43"/>
    </row>
    <row r="780">
      <c r="A780" s="16"/>
      <c r="B780" s="43"/>
      <c r="C780" s="43"/>
    </row>
    <row r="781">
      <c r="A781" s="16"/>
      <c r="B781" s="43"/>
      <c r="C781" s="43"/>
    </row>
    <row r="782">
      <c r="A782" s="16"/>
      <c r="B782" s="43"/>
      <c r="C782" s="43"/>
    </row>
    <row r="783">
      <c r="A783" s="16"/>
      <c r="B783" s="43"/>
      <c r="C783" s="43"/>
    </row>
    <row r="784">
      <c r="A784" s="16"/>
      <c r="B784" s="43"/>
      <c r="C784" s="43"/>
    </row>
    <row r="785">
      <c r="A785" s="16"/>
      <c r="B785" s="43"/>
      <c r="C785" s="43"/>
    </row>
    <row r="786">
      <c r="A786" s="16"/>
      <c r="B786" s="43"/>
      <c r="C786" s="43"/>
    </row>
    <row r="787">
      <c r="A787" s="16"/>
      <c r="B787" s="43"/>
      <c r="C787" s="43"/>
    </row>
    <row r="788">
      <c r="A788" s="16"/>
      <c r="B788" s="43"/>
      <c r="C788" s="43"/>
    </row>
    <row r="789">
      <c r="A789" s="16"/>
      <c r="B789" s="43"/>
      <c r="C789" s="43"/>
    </row>
    <row r="790">
      <c r="A790" s="16"/>
      <c r="B790" s="43"/>
      <c r="C790" s="43"/>
    </row>
    <row r="791">
      <c r="A791" s="16"/>
      <c r="B791" s="43"/>
      <c r="C791" s="43"/>
    </row>
    <row r="792">
      <c r="A792" s="16"/>
      <c r="B792" s="43"/>
      <c r="C792" s="43"/>
    </row>
    <row r="793">
      <c r="A793" s="16"/>
      <c r="B793" s="43"/>
      <c r="C793" s="43"/>
    </row>
    <row r="794">
      <c r="A794" s="16"/>
      <c r="B794" s="43"/>
      <c r="C794" s="43"/>
    </row>
    <row r="795">
      <c r="A795" s="16"/>
      <c r="B795" s="43"/>
      <c r="C795" s="43"/>
    </row>
    <row r="796">
      <c r="A796" s="16"/>
      <c r="B796" s="43"/>
      <c r="C796" s="43"/>
    </row>
    <row r="797">
      <c r="A797" s="16"/>
      <c r="B797" s="43"/>
      <c r="C797" s="43"/>
    </row>
    <row r="798">
      <c r="A798" s="16"/>
      <c r="B798" s="43"/>
      <c r="C798" s="43"/>
    </row>
    <row r="799">
      <c r="A799" s="16"/>
      <c r="B799" s="43"/>
      <c r="C799" s="43"/>
    </row>
    <row r="800">
      <c r="A800" s="16"/>
      <c r="B800" s="43"/>
      <c r="C800" s="43"/>
    </row>
    <row r="801">
      <c r="A801" s="16"/>
      <c r="B801" s="43"/>
      <c r="C801" s="43"/>
    </row>
    <row r="802">
      <c r="A802" s="16"/>
      <c r="B802" s="43"/>
      <c r="C802" s="43"/>
    </row>
    <row r="803">
      <c r="A803" s="16"/>
      <c r="B803" s="43"/>
      <c r="C803" s="43"/>
    </row>
    <row r="804">
      <c r="A804" s="16"/>
      <c r="B804" s="43"/>
      <c r="C804" s="43"/>
    </row>
    <row r="805">
      <c r="A805" s="16"/>
      <c r="B805" s="43"/>
      <c r="C805" s="43"/>
    </row>
    <row r="806">
      <c r="A806" s="16"/>
      <c r="B806" s="43"/>
      <c r="C806" s="43"/>
    </row>
    <row r="807">
      <c r="A807" s="16"/>
      <c r="B807" s="43"/>
      <c r="C807" s="43"/>
    </row>
    <row r="808">
      <c r="A808" s="16"/>
      <c r="B808" s="43"/>
      <c r="C808" s="43"/>
    </row>
    <row r="809">
      <c r="A809" s="16"/>
      <c r="B809" s="43"/>
      <c r="C809" s="43"/>
    </row>
    <row r="810">
      <c r="A810" s="16"/>
      <c r="B810" s="43"/>
      <c r="C810" s="43"/>
    </row>
    <row r="811">
      <c r="A811" s="16"/>
      <c r="B811" s="43"/>
      <c r="C811" s="43"/>
    </row>
    <row r="812">
      <c r="A812" s="16"/>
      <c r="B812" s="43"/>
      <c r="C812" s="43"/>
    </row>
    <row r="813">
      <c r="A813" s="16"/>
      <c r="B813" s="43"/>
      <c r="C813" s="43"/>
    </row>
    <row r="814">
      <c r="A814" s="16"/>
      <c r="B814" s="43"/>
      <c r="C814" s="43"/>
    </row>
    <row r="815">
      <c r="A815" s="16"/>
      <c r="B815" s="43"/>
      <c r="C815" s="43"/>
    </row>
    <row r="816">
      <c r="A816" s="16"/>
      <c r="B816" s="43"/>
      <c r="C816" s="43"/>
    </row>
    <row r="817">
      <c r="A817" s="16"/>
      <c r="B817" s="43"/>
      <c r="C817" s="43"/>
    </row>
    <row r="818">
      <c r="A818" s="16"/>
      <c r="B818" s="43"/>
      <c r="C818" s="43"/>
    </row>
    <row r="819">
      <c r="A819" s="16"/>
      <c r="B819" s="43"/>
      <c r="C819" s="43"/>
    </row>
    <row r="820">
      <c r="A820" s="16"/>
      <c r="B820" s="43"/>
      <c r="C820" s="43"/>
    </row>
    <row r="821">
      <c r="A821" s="16"/>
      <c r="B821" s="43"/>
      <c r="C821" s="43"/>
    </row>
    <row r="822">
      <c r="A822" s="16"/>
      <c r="B822" s="43"/>
      <c r="C822" s="43"/>
    </row>
    <row r="823">
      <c r="A823" s="16"/>
      <c r="B823" s="43"/>
      <c r="C823" s="43"/>
    </row>
    <row r="824">
      <c r="A824" s="16"/>
      <c r="B824" s="43"/>
      <c r="C824" s="43"/>
    </row>
    <row r="825">
      <c r="A825" s="16"/>
      <c r="B825" s="43"/>
      <c r="C825" s="43"/>
    </row>
    <row r="826">
      <c r="A826" s="16"/>
      <c r="B826" s="43"/>
      <c r="C826" s="43"/>
    </row>
    <row r="827">
      <c r="A827" s="16"/>
      <c r="B827" s="43"/>
      <c r="C827" s="43"/>
    </row>
    <row r="828">
      <c r="A828" s="16"/>
      <c r="B828" s="43"/>
      <c r="C828" s="43"/>
    </row>
    <row r="829">
      <c r="A829" s="16"/>
      <c r="B829" s="43"/>
      <c r="C829" s="43"/>
    </row>
    <row r="830">
      <c r="A830" s="16"/>
      <c r="B830" s="43"/>
      <c r="C830" s="43"/>
    </row>
    <row r="831">
      <c r="A831" s="16"/>
      <c r="B831" s="43"/>
      <c r="C831" s="43"/>
    </row>
    <row r="832">
      <c r="A832" s="16"/>
      <c r="B832" s="43"/>
      <c r="C832" s="43"/>
    </row>
    <row r="833">
      <c r="A833" s="16"/>
      <c r="B833" s="43"/>
      <c r="C833" s="43"/>
    </row>
    <row r="834">
      <c r="A834" s="16"/>
      <c r="B834" s="43"/>
      <c r="C834" s="43"/>
    </row>
    <row r="835">
      <c r="A835" s="16"/>
      <c r="B835" s="43"/>
      <c r="C835" s="43"/>
    </row>
    <row r="836">
      <c r="A836" s="16"/>
      <c r="B836" s="43"/>
      <c r="C836" s="43"/>
    </row>
    <row r="837">
      <c r="A837" s="16"/>
      <c r="B837" s="43"/>
      <c r="C837" s="43"/>
    </row>
    <row r="838">
      <c r="A838" s="16"/>
      <c r="B838" s="43"/>
      <c r="C838" s="43"/>
    </row>
    <row r="839">
      <c r="A839" s="16"/>
      <c r="B839" s="43"/>
      <c r="C839" s="43"/>
    </row>
    <row r="840">
      <c r="A840" s="16"/>
      <c r="B840" s="43"/>
      <c r="C840" s="43"/>
    </row>
    <row r="841">
      <c r="A841" s="16"/>
      <c r="B841" s="43"/>
      <c r="C841" s="43"/>
    </row>
    <row r="842">
      <c r="A842" s="16"/>
      <c r="B842" s="43"/>
      <c r="C842" s="43"/>
    </row>
    <row r="843">
      <c r="A843" s="16"/>
      <c r="B843" s="43"/>
      <c r="C843" s="43"/>
    </row>
    <row r="844">
      <c r="A844" s="16"/>
      <c r="B844" s="43"/>
      <c r="C844" s="43"/>
    </row>
    <row r="845">
      <c r="A845" s="16"/>
      <c r="B845" s="43"/>
      <c r="C845" s="43"/>
    </row>
    <row r="846">
      <c r="A846" s="16"/>
      <c r="B846" s="43"/>
      <c r="C846" s="43"/>
    </row>
    <row r="847">
      <c r="A847" s="16"/>
      <c r="B847" s="43"/>
      <c r="C847" s="43"/>
    </row>
    <row r="848">
      <c r="A848" s="16"/>
      <c r="B848" s="43"/>
      <c r="C848" s="43"/>
    </row>
    <row r="849">
      <c r="A849" s="16"/>
      <c r="B849" s="43"/>
      <c r="C849" s="43"/>
    </row>
    <row r="850">
      <c r="A850" s="16"/>
      <c r="B850" s="43"/>
      <c r="C850" s="43"/>
    </row>
    <row r="851">
      <c r="A851" s="16"/>
      <c r="B851" s="43"/>
      <c r="C851" s="43"/>
    </row>
    <row r="852">
      <c r="A852" s="16"/>
      <c r="B852" s="43"/>
      <c r="C852" s="43"/>
    </row>
    <row r="853">
      <c r="A853" s="16"/>
      <c r="B853" s="43"/>
      <c r="C853" s="43"/>
    </row>
    <row r="854">
      <c r="A854" s="16"/>
      <c r="B854" s="43"/>
      <c r="C854" s="43"/>
    </row>
    <row r="855">
      <c r="A855" s="16"/>
      <c r="B855" s="43"/>
      <c r="C855" s="43"/>
    </row>
    <row r="856">
      <c r="A856" s="16"/>
      <c r="B856" s="43"/>
      <c r="C856" s="43"/>
    </row>
    <row r="857">
      <c r="A857" s="16"/>
      <c r="B857" s="43"/>
      <c r="C857" s="43"/>
    </row>
    <row r="858">
      <c r="A858" s="16"/>
      <c r="B858" s="43"/>
      <c r="C858" s="43"/>
    </row>
    <row r="859">
      <c r="A859" s="16"/>
      <c r="B859" s="43"/>
      <c r="C859" s="43"/>
    </row>
    <row r="860">
      <c r="A860" s="16"/>
      <c r="B860" s="43"/>
      <c r="C860" s="43"/>
    </row>
    <row r="861">
      <c r="A861" s="16"/>
      <c r="B861" s="43"/>
      <c r="C861" s="43"/>
    </row>
    <row r="862">
      <c r="A862" s="16"/>
      <c r="B862" s="43"/>
      <c r="C862" s="43"/>
    </row>
    <row r="863">
      <c r="A863" s="16"/>
      <c r="B863" s="43"/>
      <c r="C863" s="43"/>
    </row>
    <row r="864">
      <c r="A864" s="16"/>
      <c r="B864" s="43"/>
      <c r="C864" s="43"/>
    </row>
    <row r="865">
      <c r="A865" s="16"/>
      <c r="B865" s="43"/>
      <c r="C865" s="43"/>
    </row>
    <row r="866">
      <c r="A866" s="16"/>
      <c r="B866" s="43"/>
      <c r="C866" s="43"/>
    </row>
    <row r="867">
      <c r="A867" s="16"/>
      <c r="B867" s="43"/>
      <c r="C867" s="43"/>
    </row>
    <row r="868">
      <c r="A868" s="16"/>
      <c r="B868" s="43"/>
      <c r="C868" s="43"/>
    </row>
    <row r="869">
      <c r="A869" s="16"/>
      <c r="B869" s="43"/>
      <c r="C869" s="43"/>
    </row>
    <row r="870">
      <c r="A870" s="16"/>
      <c r="B870" s="43"/>
      <c r="C870" s="43"/>
    </row>
    <row r="871">
      <c r="A871" s="16"/>
      <c r="B871" s="43"/>
      <c r="C871" s="43"/>
    </row>
    <row r="872">
      <c r="A872" s="16"/>
      <c r="B872" s="43"/>
      <c r="C872" s="43"/>
    </row>
    <row r="873">
      <c r="A873" s="16"/>
      <c r="B873" s="43"/>
      <c r="C873" s="43"/>
    </row>
    <row r="874">
      <c r="A874" s="16"/>
      <c r="B874" s="43"/>
      <c r="C874" s="43"/>
    </row>
    <row r="875">
      <c r="A875" s="16"/>
      <c r="B875" s="43"/>
      <c r="C875" s="43"/>
    </row>
    <row r="876">
      <c r="A876" s="16"/>
      <c r="B876" s="43"/>
      <c r="C876" s="43"/>
    </row>
    <row r="877">
      <c r="A877" s="16"/>
      <c r="B877" s="43"/>
      <c r="C877" s="43"/>
    </row>
    <row r="878">
      <c r="A878" s="16"/>
      <c r="B878" s="43"/>
      <c r="C878" s="43"/>
    </row>
    <row r="879">
      <c r="A879" s="16"/>
      <c r="B879" s="43"/>
      <c r="C879" s="43"/>
    </row>
    <row r="880">
      <c r="A880" s="16"/>
      <c r="B880" s="43"/>
      <c r="C880" s="43"/>
    </row>
    <row r="881">
      <c r="A881" s="16"/>
      <c r="B881" s="43"/>
      <c r="C881" s="43"/>
    </row>
    <row r="882">
      <c r="A882" s="16"/>
      <c r="B882" s="43"/>
      <c r="C882" s="43"/>
    </row>
    <row r="883">
      <c r="A883" s="16"/>
      <c r="B883" s="43"/>
      <c r="C883" s="43"/>
    </row>
    <row r="884">
      <c r="A884" s="16"/>
      <c r="B884" s="43"/>
      <c r="C884" s="43"/>
    </row>
    <row r="885">
      <c r="A885" s="16"/>
      <c r="B885" s="43"/>
      <c r="C885" s="43"/>
    </row>
    <row r="886">
      <c r="A886" s="16"/>
      <c r="B886" s="43"/>
      <c r="C886" s="43"/>
    </row>
    <row r="887">
      <c r="A887" s="16"/>
      <c r="B887" s="43"/>
      <c r="C887" s="43"/>
    </row>
    <row r="888">
      <c r="A888" s="16"/>
      <c r="B888" s="43"/>
      <c r="C888" s="43"/>
    </row>
    <row r="889">
      <c r="A889" s="16"/>
      <c r="B889" s="43"/>
      <c r="C889" s="43"/>
    </row>
    <row r="890">
      <c r="A890" s="16"/>
      <c r="B890" s="43"/>
      <c r="C890" s="43"/>
    </row>
    <row r="891">
      <c r="A891" s="16"/>
      <c r="B891" s="43"/>
      <c r="C891" s="43"/>
    </row>
    <row r="892">
      <c r="A892" s="16"/>
      <c r="B892" s="43"/>
      <c r="C892" s="43"/>
    </row>
    <row r="893">
      <c r="A893" s="16"/>
      <c r="B893" s="43"/>
      <c r="C893" s="43"/>
    </row>
    <row r="894">
      <c r="A894" s="16"/>
      <c r="B894" s="43"/>
      <c r="C894" s="43"/>
    </row>
    <row r="895">
      <c r="A895" s="16"/>
      <c r="B895" s="43"/>
      <c r="C895" s="43"/>
    </row>
    <row r="896">
      <c r="A896" s="16"/>
      <c r="B896" s="43"/>
      <c r="C896" s="43"/>
    </row>
    <row r="897">
      <c r="A897" s="16"/>
      <c r="B897" s="43"/>
      <c r="C897" s="43"/>
    </row>
    <row r="898">
      <c r="A898" s="16"/>
      <c r="B898" s="43"/>
      <c r="C898" s="43"/>
    </row>
    <row r="899">
      <c r="A899" s="16"/>
      <c r="B899" s="43"/>
      <c r="C899" s="43"/>
    </row>
    <row r="900">
      <c r="A900" s="16"/>
      <c r="B900" s="43"/>
      <c r="C900" s="43"/>
    </row>
    <row r="901">
      <c r="A901" s="16"/>
      <c r="B901" s="43"/>
      <c r="C901" s="43"/>
    </row>
    <row r="902">
      <c r="A902" s="16"/>
      <c r="B902" s="43"/>
      <c r="C902" s="43"/>
    </row>
    <row r="903">
      <c r="A903" s="16"/>
      <c r="B903" s="43"/>
      <c r="C903" s="43"/>
    </row>
    <row r="904">
      <c r="A904" s="16"/>
      <c r="B904" s="43"/>
      <c r="C904" s="43"/>
    </row>
    <row r="905">
      <c r="A905" s="16"/>
      <c r="B905" s="43"/>
      <c r="C905" s="43"/>
    </row>
    <row r="906">
      <c r="A906" s="16"/>
      <c r="B906" s="43"/>
      <c r="C906" s="43"/>
    </row>
    <row r="907">
      <c r="A907" s="16"/>
      <c r="B907" s="43"/>
      <c r="C907" s="43"/>
    </row>
    <row r="908">
      <c r="A908" s="16"/>
      <c r="B908" s="43"/>
      <c r="C908" s="43"/>
    </row>
    <row r="909">
      <c r="A909" s="16"/>
      <c r="B909" s="43"/>
      <c r="C909" s="43"/>
    </row>
    <row r="910">
      <c r="A910" s="16"/>
      <c r="B910" s="43"/>
      <c r="C910" s="43"/>
    </row>
    <row r="911">
      <c r="A911" s="16"/>
      <c r="B911" s="43"/>
      <c r="C911" s="43"/>
    </row>
    <row r="912">
      <c r="A912" s="16"/>
      <c r="B912" s="43"/>
      <c r="C912" s="43"/>
    </row>
    <row r="913">
      <c r="A913" s="16"/>
      <c r="B913" s="43"/>
      <c r="C913" s="43"/>
    </row>
    <row r="914">
      <c r="A914" s="16"/>
      <c r="B914" s="43"/>
      <c r="C914" s="43"/>
    </row>
    <row r="915">
      <c r="A915" s="16"/>
      <c r="B915" s="43"/>
      <c r="C915" s="43"/>
    </row>
    <row r="916">
      <c r="A916" s="16"/>
      <c r="B916" s="43"/>
      <c r="C916" s="43"/>
    </row>
    <row r="917">
      <c r="A917" s="16"/>
      <c r="B917" s="43"/>
      <c r="C917" s="43"/>
    </row>
    <row r="918">
      <c r="A918" s="16"/>
      <c r="B918" s="43"/>
      <c r="C918" s="43"/>
    </row>
    <row r="919">
      <c r="A919" s="16"/>
      <c r="B919" s="43"/>
      <c r="C919" s="43"/>
    </row>
    <row r="920">
      <c r="A920" s="16"/>
      <c r="B920" s="43"/>
      <c r="C920" s="43"/>
    </row>
    <row r="921">
      <c r="A921" s="16"/>
      <c r="B921" s="43"/>
      <c r="C921" s="43"/>
    </row>
    <row r="922">
      <c r="A922" s="16"/>
      <c r="B922" s="43"/>
      <c r="C922" s="43"/>
    </row>
    <row r="923">
      <c r="A923" s="16"/>
      <c r="B923" s="43"/>
      <c r="C923" s="43"/>
    </row>
    <row r="924">
      <c r="A924" s="16"/>
      <c r="B924" s="43"/>
      <c r="C924" s="43"/>
    </row>
    <row r="925">
      <c r="A925" s="16"/>
      <c r="B925" s="43"/>
      <c r="C925" s="43"/>
    </row>
    <row r="926">
      <c r="A926" s="16"/>
      <c r="B926" s="43"/>
      <c r="C926" s="43"/>
    </row>
    <row r="927">
      <c r="A927" s="16"/>
      <c r="B927" s="43"/>
      <c r="C927" s="43"/>
    </row>
    <row r="928">
      <c r="A928" s="16"/>
      <c r="B928" s="43"/>
      <c r="C928" s="43"/>
    </row>
    <row r="929">
      <c r="A929" s="16"/>
      <c r="B929" s="43"/>
      <c r="C929" s="43"/>
    </row>
    <row r="930">
      <c r="A930" s="16"/>
      <c r="B930" s="43"/>
      <c r="C930" s="43"/>
    </row>
    <row r="931">
      <c r="A931" s="16"/>
      <c r="B931" s="43"/>
      <c r="C931" s="43"/>
    </row>
    <row r="932">
      <c r="A932" s="16"/>
      <c r="B932" s="43"/>
      <c r="C932" s="43"/>
    </row>
    <row r="933">
      <c r="A933" s="16"/>
      <c r="B933" s="43"/>
      <c r="C933" s="43"/>
    </row>
    <row r="934">
      <c r="A934" s="16"/>
      <c r="B934" s="43"/>
      <c r="C934" s="43"/>
    </row>
    <row r="935">
      <c r="A935" s="16"/>
      <c r="B935" s="43"/>
      <c r="C935" s="43"/>
    </row>
    <row r="936">
      <c r="A936" s="16"/>
      <c r="B936" s="43"/>
      <c r="C936" s="43"/>
    </row>
    <row r="937">
      <c r="A937" s="16"/>
      <c r="B937" s="43"/>
      <c r="C937" s="43"/>
    </row>
    <row r="938">
      <c r="A938" s="16"/>
      <c r="B938" s="43"/>
      <c r="C938" s="43"/>
    </row>
    <row r="939">
      <c r="A939" s="16"/>
      <c r="B939" s="43"/>
      <c r="C939" s="43"/>
    </row>
    <row r="940">
      <c r="A940" s="16"/>
      <c r="B940" s="43"/>
      <c r="C940" s="43"/>
    </row>
    <row r="941">
      <c r="A941" s="16"/>
      <c r="B941" s="43"/>
      <c r="C941" s="43"/>
    </row>
    <row r="942">
      <c r="A942" s="16"/>
      <c r="B942" s="43"/>
      <c r="C942" s="43"/>
    </row>
    <row r="943">
      <c r="A943" s="16"/>
      <c r="B943" s="43"/>
      <c r="C943" s="43"/>
    </row>
    <row r="944">
      <c r="A944" s="16"/>
      <c r="B944" s="43"/>
      <c r="C944" s="43"/>
    </row>
    <row r="945">
      <c r="A945" s="16"/>
      <c r="B945" s="43"/>
      <c r="C945" s="43"/>
    </row>
    <row r="946">
      <c r="A946" s="16"/>
      <c r="B946" s="43"/>
      <c r="C946" s="43"/>
    </row>
    <row r="947">
      <c r="A947" s="16"/>
      <c r="B947" s="43"/>
      <c r="C947" s="43"/>
    </row>
    <row r="948">
      <c r="A948" s="16"/>
      <c r="B948" s="43"/>
      <c r="C948" s="43"/>
    </row>
    <row r="949">
      <c r="A949" s="16"/>
      <c r="B949" s="43"/>
      <c r="C949" s="43"/>
    </row>
    <row r="950">
      <c r="A950" s="16"/>
      <c r="B950" s="43"/>
      <c r="C950" s="43"/>
    </row>
    <row r="951">
      <c r="A951" s="16"/>
      <c r="B951" s="43"/>
      <c r="C951" s="43"/>
    </row>
    <row r="952">
      <c r="A952" s="16"/>
      <c r="B952" s="43"/>
      <c r="C952" s="43"/>
    </row>
    <row r="953">
      <c r="A953" s="16"/>
      <c r="B953" s="43"/>
      <c r="C953" s="43"/>
    </row>
    <row r="954">
      <c r="A954" s="16"/>
      <c r="B954" s="43"/>
      <c r="C954" s="43"/>
    </row>
    <row r="955">
      <c r="A955" s="16"/>
      <c r="B955" s="43"/>
      <c r="C955" s="43"/>
    </row>
    <row r="956">
      <c r="A956" s="16"/>
      <c r="B956" s="43"/>
      <c r="C956" s="43"/>
    </row>
    <row r="957">
      <c r="A957" s="16"/>
      <c r="B957" s="43"/>
      <c r="C957" s="43"/>
    </row>
    <row r="958">
      <c r="A958" s="16"/>
      <c r="B958" s="43"/>
      <c r="C958" s="43"/>
    </row>
    <row r="959">
      <c r="A959" s="16"/>
      <c r="B959" s="43"/>
      <c r="C959" s="43"/>
    </row>
    <row r="960">
      <c r="A960" s="16"/>
      <c r="B960" s="43"/>
      <c r="C960" s="43"/>
    </row>
    <row r="961">
      <c r="A961" s="16"/>
      <c r="B961" s="43"/>
      <c r="C961" s="43"/>
    </row>
    <row r="962">
      <c r="A962" s="16"/>
      <c r="B962" s="43"/>
      <c r="C962" s="43"/>
    </row>
    <row r="963">
      <c r="A963" s="16"/>
      <c r="B963" s="43"/>
      <c r="C963" s="43"/>
    </row>
    <row r="964">
      <c r="A964" s="16"/>
      <c r="B964" s="43"/>
      <c r="C964" s="43"/>
    </row>
    <row r="965">
      <c r="A965" s="16"/>
      <c r="B965" s="43"/>
      <c r="C965" s="43"/>
    </row>
    <row r="966">
      <c r="A966" s="16"/>
      <c r="B966" s="43"/>
      <c r="C966" s="43"/>
    </row>
    <row r="967">
      <c r="A967" s="16"/>
      <c r="B967" s="43"/>
      <c r="C967" s="43"/>
    </row>
    <row r="968">
      <c r="A968" s="16"/>
      <c r="B968" s="43"/>
      <c r="C968" s="43"/>
    </row>
    <row r="969">
      <c r="A969" s="16"/>
      <c r="B969" s="43"/>
      <c r="C969" s="43"/>
    </row>
    <row r="970">
      <c r="A970" s="16"/>
      <c r="B970" s="43"/>
      <c r="C970" s="43"/>
    </row>
    <row r="971">
      <c r="A971" s="16"/>
      <c r="B971" s="43"/>
      <c r="C971" s="43"/>
    </row>
    <row r="972">
      <c r="A972" s="16"/>
      <c r="B972" s="43"/>
      <c r="C972" s="43"/>
    </row>
    <row r="973">
      <c r="A973" s="16"/>
      <c r="B973" s="43"/>
      <c r="C973" s="43"/>
    </row>
    <row r="974">
      <c r="A974" s="16"/>
      <c r="B974" s="43"/>
      <c r="C974" s="43"/>
    </row>
    <row r="975">
      <c r="A975" s="16"/>
      <c r="B975" s="43"/>
      <c r="C975" s="43"/>
    </row>
    <row r="976">
      <c r="A976" s="16"/>
      <c r="B976" s="43"/>
      <c r="C976" s="43"/>
    </row>
    <row r="977">
      <c r="A977" s="16"/>
      <c r="B977" s="43"/>
      <c r="C977" s="43"/>
    </row>
    <row r="978">
      <c r="A978" s="16"/>
      <c r="B978" s="43"/>
      <c r="C978" s="43"/>
    </row>
    <row r="979">
      <c r="A979" s="16"/>
      <c r="B979" s="43"/>
      <c r="C979" s="43"/>
    </row>
    <row r="980">
      <c r="A980" s="16"/>
      <c r="B980" s="43"/>
      <c r="C980" s="43"/>
    </row>
    <row r="981">
      <c r="A981" s="16"/>
      <c r="B981" s="43"/>
      <c r="C981" s="43"/>
    </row>
    <row r="982">
      <c r="A982" s="16"/>
      <c r="B982" s="43"/>
      <c r="C982" s="43"/>
    </row>
    <row r="983">
      <c r="A983" s="16"/>
      <c r="B983" s="43"/>
      <c r="C983" s="43"/>
    </row>
    <row r="984">
      <c r="A984" s="16"/>
      <c r="B984" s="43"/>
      <c r="C984" s="43"/>
    </row>
    <row r="985">
      <c r="A985" s="16"/>
      <c r="B985" s="43"/>
      <c r="C985" s="43"/>
    </row>
    <row r="986">
      <c r="A986" s="16"/>
      <c r="B986" s="43"/>
      <c r="C986" s="43"/>
    </row>
    <row r="987">
      <c r="A987" s="16"/>
      <c r="B987" s="43"/>
      <c r="C987" s="43"/>
    </row>
    <row r="988">
      <c r="A988" s="16"/>
      <c r="B988" s="43"/>
      <c r="C988" s="43"/>
    </row>
    <row r="989">
      <c r="A989" s="16"/>
      <c r="B989" s="43"/>
      <c r="C989" s="43"/>
    </row>
    <row r="990">
      <c r="A990" s="16"/>
      <c r="B990" s="43"/>
      <c r="C990" s="43"/>
    </row>
    <row r="991">
      <c r="A991" s="16"/>
      <c r="B991" s="43"/>
      <c r="C991" s="43"/>
    </row>
    <row r="992">
      <c r="A992" s="16"/>
      <c r="B992" s="43"/>
      <c r="C992" s="43"/>
    </row>
    <row r="993">
      <c r="A993" s="16"/>
      <c r="B993" s="43"/>
      <c r="C993" s="43"/>
    </row>
    <row r="994">
      <c r="A994" s="16"/>
      <c r="B994" s="43"/>
      <c r="C994" s="43"/>
    </row>
    <row r="995">
      <c r="A995" s="16"/>
      <c r="B995" s="43"/>
      <c r="C995" s="43"/>
    </row>
    <row r="996">
      <c r="A996" s="16"/>
      <c r="B996" s="43"/>
      <c r="C996" s="43"/>
    </row>
    <row r="997">
      <c r="A997" s="16"/>
      <c r="B997" s="43"/>
      <c r="C997" s="43"/>
    </row>
    <row r="998">
      <c r="A998" s="16"/>
      <c r="B998" s="43"/>
      <c r="C998" s="43"/>
    </row>
    <row r="999">
      <c r="A999" s="16"/>
      <c r="B999" s="43"/>
      <c r="C999" s="43"/>
    </row>
    <row r="1000">
      <c r="A1000" s="16"/>
      <c r="B1000" s="43"/>
      <c r="C1000" s="43"/>
    </row>
    <row r="1001">
      <c r="A1001" s="16"/>
      <c r="B1001" s="43"/>
      <c r="C1001" s="43"/>
    </row>
    <row r="1002">
      <c r="A1002" s="16"/>
      <c r="B1002" s="43"/>
      <c r="C1002" s="43"/>
    </row>
    <row r="1003">
      <c r="A1003" s="16"/>
      <c r="B1003" s="43"/>
      <c r="C1003" s="43"/>
    </row>
    <row r="1004">
      <c r="A1004" s="16"/>
      <c r="B1004" s="43"/>
      <c r="C1004" s="43"/>
    </row>
    <row r="1005">
      <c r="A1005" s="16"/>
      <c r="B1005" s="43"/>
      <c r="C1005" s="43"/>
    </row>
    <row r="1006">
      <c r="A1006" s="16"/>
      <c r="B1006" s="43"/>
      <c r="C1006" s="43"/>
    </row>
    <row r="1007">
      <c r="A1007" s="16"/>
      <c r="B1007" s="43"/>
      <c r="C1007" s="43"/>
    </row>
    <row r="1008">
      <c r="A1008" s="16"/>
      <c r="B1008" s="43"/>
      <c r="C1008" s="43"/>
    </row>
    <row r="1009">
      <c r="A1009" s="16"/>
      <c r="B1009" s="43"/>
      <c r="C1009" s="43"/>
    </row>
    <row r="1010">
      <c r="A1010" s="16"/>
      <c r="B1010" s="43"/>
      <c r="C1010" s="43"/>
    </row>
    <row r="1011">
      <c r="A1011" s="16"/>
      <c r="B1011" s="43"/>
      <c r="C1011" s="43"/>
    </row>
    <row r="1012">
      <c r="A1012" s="16"/>
      <c r="B1012" s="43"/>
      <c r="C1012" s="43"/>
    </row>
    <row r="1013">
      <c r="A1013" s="16"/>
      <c r="B1013" s="43"/>
      <c r="C1013" s="43"/>
    </row>
    <row r="1014">
      <c r="A1014" s="16"/>
      <c r="B1014" s="43"/>
      <c r="C1014" s="43"/>
    </row>
    <row r="1015">
      <c r="A1015" s="16"/>
      <c r="B1015" s="43"/>
      <c r="C1015" s="43"/>
    </row>
    <row r="1016">
      <c r="A1016" s="16"/>
      <c r="B1016" s="43"/>
      <c r="C1016" s="43"/>
    </row>
    <row r="1017">
      <c r="A1017" s="16"/>
      <c r="B1017" s="43"/>
      <c r="C1017" s="43"/>
    </row>
    <row r="1018">
      <c r="A1018" s="16"/>
      <c r="B1018" s="43"/>
      <c r="C1018" s="43"/>
    </row>
    <row r="1019">
      <c r="A1019" s="16"/>
      <c r="B1019" s="43"/>
      <c r="C1019" s="43"/>
    </row>
    <row r="1020">
      <c r="A1020" s="16"/>
      <c r="B1020" s="43"/>
      <c r="C1020" s="43"/>
    </row>
    <row r="1021">
      <c r="A1021" s="16"/>
      <c r="B1021" s="43"/>
      <c r="C1021" s="43"/>
    </row>
    <row r="1022">
      <c r="A1022" s="16"/>
      <c r="B1022" s="43"/>
      <c r="C1022" s="43"/>
    </row>
    <row r="1023">
      <c r="A1023" s="16"/>
      <c r="B1023" s="43"/>
      <c r="C1023" s="43"/>
    </row>
    <row r="1024">
      <c r="A1024" s="16"/>
      <c r="B1024" s="43"/>
      <c r="C1024" s="43"/>
    </row>
    <row r="1025">
      <c r="A1025" s="16"/>
      <c r="B1025" s="43"/>
      <c r="C1025" s="43"/>
    </row>
    <row r="1026">
      <c r="A1026" s="16"/>
      <c r="B1026" s="43"/>
      <c r="C1026" s="43"/>
    </row>
    <row r="1027">
      <c r="A1027" s="16"/>
      <c r="B1027" s="43"/>
      <c r="C1027" s="43"/>
    </row>
    <row r="1028">
      <c r="A1028" s="16"/>
      <c r="B1028" s="43"/>
      <c r="C1028" s="43"/>
    </row>
    <row r="1029">
      <c r="A1029" s="16"/>
      <c r="B1029" s="43"/>
      <c r="C1029" s="43"/>
    </row>
    <row r="1030">
      <c r="A1030" s="16"/>
      <c r="B1030" s="43"/>
      <c r="C1030" s="43"/>
    </row>
    <row r="1031">
      <c r="A1031" s="16"/>
      <c r="B1031" s="43"/>
      <c r="C1031" s="43"/>
    </row>
    <row r="1032">
      <c r="A1032" s="16"/>
      <c r="B1032" s="43"/>
      <c r="C1032" s="43"/>
    </row>
    <row r="1033">
      <c r="A1033" s="16"/>
      <c r="B1033" s="43"/>
      <c r="C1033" s="43"/>
    </row>
    <row r="1034">
      <c r="A1034" s="16"/>
      <c r="B1034" s="43"/>
      <c r="C1034" s="43"/>
    </row>
    <row r="1035">
      <c r="A1035" s="16"/>
      <c r="B1035" s="43"/>
      <c r="C1035" s="43"/>
    </row>
    <row r="1036">
      <c r="A1036" s="16"/>
      <c r="B1036" s="43"/>
      <c r="C1036" s="43"/>
    </row>
    <row r="1037">
      <c r="A1037" s="16"/>
      <c r="B1037" s="43"/>
      <c r="C1037" s="43"/>
    </row>
    <row r="1038">
      <c r="A1038" s="16"/>
      <c r="B1038" s="43"/>
      <c r="C1038" s="43"/>
    </row>
    <row r="1039">
      <c r="A1039" s="16"/>
      <c r="B1039" s="43"/>
      <c r="C1039" s="43"/>
    </row>
    <row r="1040">
      <c r="A1040" s="16"/>
      <c r="B1040" s="43"/>
      <c r="C1040" s="43"/>
    </row>
    <row r="1041">
      <c r="A1041" s="16"/>
      <c r="B1041" s="43"/>
      <c r="C1041" s="43"/>
    </row>
    <row r="1042">
      <c r="A1042" s="16"/>
      <c r="B1042" s="43"/>
      <c r="C1042" s="43"/>
    </row>
    <row r="1043">
      <c r="A1043" s="16"/>
      <c r="B1043" s="43"/>
      <c r="C1043" s="43"/>
    </row>
    <row r="1044">
      <c r="A1044" s="16"/>
      <c r="B1044" s="43"/>
      <c r="C1044" s="43"/>
    </row>
    <row r="1045">
      <c r="A1045" s="16"/>
      <c r="B1045" s="43"/>
      <c r="C1045" s="43"/>
    </row>
    <row r="1046">
      <c r="A1046" s="16"/>
      <c r="B1046" s="43"/>
      <c r="C1046" s="43"/>
    </row>
    <row r="1047">
      <c r="A1047" s="16"/>
      <c r="B1047" s="43"/>
      <c r="C1047" s="43"/>
    </row>
    <row r="1048">
      <c r="A1048" s="16"/>
      <c r="B1048" s="43"/>
      <c r="C1048" s="43"/>
    </row>
    <row r="1049">
      <c r="A1049" s="16"/>
      <c r="B1049" s="43"/>
      <c r="C1049" s="43"/>
    </row>
    <row r="1050">
      <c r="A1050" s="16"/>
      <c r="B1050" s="43"/>
      <c r="C1050" s="43"/>
    </row>
    <row r="1051">
      <c r="A1051" s="16"/>
      <c r="B1051" s="43"/>
      <c r="C1051" s="43"/>
    </row>
    <row r="1052">
      <c r="A1052" s="16"/>
      <c r="B1052" s="43"/>
      <c r="C1052" s="43"/>
    </row>
    <row r="1053">
      <c r="A1053" s="16"/>
      <c r="B1053" s="43"/>
      <c r="C1053" s="43"/>
    </row>
    <row r="1054">
      <c r="A1054" s="16"/>
      <c r="B1054" s="43"/>
      <c r="C1054" s="43"/>
    </row>
    <row r="1055">
      <c r="A1055" s="16"/>
      <c r="B1055" s="43"/>
      <c r="C1055" s="43"/>
    </row>
    <row r="1056">
      <c r="A1056" s="16"/>
      <c r="B1056" s="43"/>
      <c r="C1056" s="43"/>
    </row>
    <row r="1057">
      <c r="A1057" s="16"/>
      <c r="B1057" s="43"/>
      <c r="C1057" s="43"/>
    </row>
    <row r="1058">
      <c r="A1058" s="16"/>
      <c r="B1058" s="43"/>
      <c r="C1058" s="43"/>
    </row>
    <row r="1059">
      <c r="A1059" s="16"/>
      <c r="B1059" s="43"/>
      <c r="C1059" s="43"/>
    </row>
    <row r="1060">
      <c r="A1060" s="16"/>
      <c r="B1060" s="43"/>
      <c r="C1060" s="43"/>
    </row>
    <row r="1061">
      <c r="A1061" s="16"/>
      <c r="B1061" s="43"/>
      <c r="C1061" s="43"/>
    </row>
    <row r="1062">
      <c r="A1062" s="16"/>
      <c r="B1062" s="43"/>
      <c r="C1062" s="43"/>
    </row>
    <row r="1063">
      <c r="A1063" s="16"/>
      <c r="B1063" s="43"/>
      <c r="C1063" s="43"/>
    </row>
    <row r="1064">
      <c r="A1064" s="16"/>
      <c r="B1064" s="43"/>
      <c r="C1064" s="43"/>
    </row>
    <row r="1065">
      <c r="A1065" s="16"/>
      <c r="B1065" s="43"/>
      <c r="C1065" s="43"/>
    </row>
    <row r="1066">
      <c r="A1066" s="16"/>
      <c r="B1066" s="43"/>
      <c r="C1066" s="43"/>
    </row>
    <row r="1067">
      <c r="A1067" s="16"/>
      <c r="B1067" s="43"/>
      <c r="C1067" s="43"/>
    </row>
    <row r="1068">
      <c r="A1068" s="16"/>
      <c r="B1068" s="43"/>
      <c r="C1068" s="43"/>
    </row>
    <row r="1069">
      <c r="A1069" s="16"/>
      <c r="B1069" s="43"/>
      <c r="C1069" s="43"/>
    </row>
    <row r="1070">
      <c r="A1070" s="16"/>
      <c r="B1070" s="43"/>
      <c r="C1070" s="43"/>
    </row>
    <row r="1071">
      <c r="A1071" s="16"/>
      <c r="B1071" s="43"/>
      <c r="C1071" s="43"/>
    </row>
    <row r="1072">
      <c r="A1072" s="16"/>
      <c r="B1072" s="43"/>
      <c r="C1072" s="43"/>
    </row>
    <row r="1073">
      <c r="A1073" s="16"/>
      <c r="B1073" s="43"/>
      <c r="C1073" s="43"/>
    </row>
    <row r="1074">
      <c r="A1074" s="16"/>
      <c r="B1074" s="43"/>
      <c r="C1074" s="43"/>
    </row>
    <row r="1075">
      <c r="A1075" s="16"/>
      <c r="B1075" s="43"/>
      <c r="C1075" s="43"/>
    </row>
    <row r="1076">
      <c r="A1076" s="16"/>
      <c r="B1076" s="43"/>
      <c r="C1076" s="43"/>
    </row>
    <row r="1077">
      <c r="A1077" s="16"/>
      <c r="B1077" s="43"/>
      <c r="C1077" s="43"/>
    </row>
    <row r="1078">
      <c r="A1078" s="16"/>
      <c r="B1078" s="43"/>
      <c r="C1078" s="43"/>
    </row>
    <row r="1079">
      <c r="A1079" s="16"/>
      <c r="B1079" s="43"/>
      <c r="C1079" s="43"/>
    </row>
    <row r="1080">
      <c r="A1080" s="16"/>
      <c r="B1080" s="43"/>
      <c r="C1080" s="43"/>
    </row>
    <row r="1081">
      <c r="A1081" s="16"/>
      <c r="B1081" s="43"/>
      <c r="C1081" s="43"/>
    </row>
    <row r="1082">
      <c r="A1082" s="16"/>
      <c r="B1082" s="43"/>
      <c r="C1082" s="43"/>
    </row>
    <row r="1083">
      <c r="A1083" s="16"/>
      <c r="B1083" s="43"/>
      <c r="C1083" s="43"/>
    </row>
    <row r="1084">
      <c r="A1084" s="16"/>
      <c r="B1084" s="43"/>
      <c r="C1084" s="43"/>
    </row>
    <row r="1085">
      <c r="A1085" s="16"/>
      <c r="B1085" s="43"/>
      <c r="C1085" s="43"/>
    </row>
    <row r="1086">
      <c r="A1086" s="16"/>
      <c r="B1086" s="43"/>
      <c r="C1086" s="43"/>
    </row>
    <row r="1087">
      <c r="A1087" s="16"/>
      <c r="B1087" s="43"/>
      <c r="C1087" s="43"/>
    </row>
    <row r="1088">
      <c r="A1088" s="16"/>
      <c r="B1088" s="43"/>
      <c r="C1088" s="43"/>
    </row>
    <row r="1089">
      <c r="A1089" s="16"/>
      <c r="B1089" s="43"/>
      <c r="C1089" s="43"/>
    </row>
    <row r="1090">
      <c r="A1090" s="16"/>
      <c r="B1090" s="43"/>
      <c r="C1090" s="43"/>
    </row>
    <row r="1091">
      <c r="A1091" s="16"/>
      <c r="B1091" s="43"/>
      <c r="C1091" s="43"/>
    </row>
    <row r="1092">
      <c r="A1092" s="16"/>
      <c r="B1092" s="43"/>
      <c r="C1092" s="43"/>
    </row>
    <row r="1093">
      <c r="A1093" s="16"/>
      <c r="B1093" s="43"/>
      <c r="C1093" s="43"/>
    </row>
    <row r="1094">
      <c r="A1094" s="16"/>
      <c r="B1094" s="43"/>
      <c r="C1094" s="43"/>
    </row>
    <row r="1095">
      <c r="A1095" s="16"/>
      <c r="B1095" s="43"/>
      <c r="C1095" s="43"/>
    </row>
    <row r="1096">
      <c r="A1096" s="16"/>
      <c r="B1096" s="43"/>
      <c r="C1096" s="43"/>
    </row>
    <row r="1097">
      <c r="A1097" s="16"/>
      <c r="B1097" s="43"/>
      <c r="C1097" s="43"/>
    </row>
    <row r="1098">
      <c r="A1098" s="16"/>
      <c r="B1098" s="43"/>
      <c r="C1098" s="43"/>
    </row>
    <row r="1099">
      <c r="A1099" s="16"/>
      <c r="B1099" s="43"/>
      <c r="C1099" s="43"/>
    </row>
    <row r="1100">
      <c r="A1100" s="16"/>
      <c r="B1100" s="43"/>
      <c r="C1100" s="43"/>
    </row>
    <row r="1101">
      <c r="A1101" s="16"/>
      <c r="B1101" s="43"/>
      <c r="C1101" s="43"/>
    </row>
    <row r="1102">
      <c r="A1102" s="16"/>
      <c r="B1102" s="43"/>
      <c r="C1102" s="43"/>
    </row>
    <row r="1103">
      <c r="A1103" s="16"/>
      <c r="B1103" s="43"/>
      <c r="C1103" s="43"/>
    </row>
    <row r="1104">
      <c r="A1104" s="16"/>
      <c r="B1104" s="43"/>
      <c r="C1104" s="43"/>
    </row>
    <row r="1105">
      <c r="A1105" s="16"/>
      <c r="B1105" s="43"/>
      <c r="C1105" s="43"/>
    </row>
    <row r="1106">
      <c r="A1106" s="16"/>
      <c r="B1106" s="43"/>
      <c r="C1106" s="43"/>
    </row>
    <row r="1107">
      <c r="A1107" s="16"/>
      <c r="B1107" s="43"/>
      <c r="C1107" s="43"/>
    </row>
    <row r="1108">
      <c r="A1108" s="16"/>
      <c r="B1108" s="43"/>
      <c r="C1108" s="43"/>
    </row>
    <row r="1109">
      <c r="A1109" s="16"/>
      <c r="B1109" s="43"/>
      <c r="C1109" s="43"/>
    </row>
    <row r="1110">
      <c r="A1110" s="16"/>
      <c r="B1110" s="43"/>
      <c r="C1110" s="43"/>
    </row>
    <row r="1111">
      <c r="A1111" s="16"/>
      <c r="B1111" s="43"/>
      <c r="C1111" s="43"/>
    </row>
    <row r="1112">
      <c r="A1112" s="16"/>
      <c r="B1112" s="43"/>
      <c r="C1112" s="43"/>
    </row>
    <row r="1113">
      <c r="A1113" s="16"/>
      <c r="B1113" s="43"/>
      <c r="C1113" s="43"/>
    </row>
    <row r="1114">
      <c r="A1114" s="16"/>
      <c r="B1114" s="43"/>
      <c r="C1114" s="43"/>
    </row>
    <row r="1115">
      <c r="A1115" s="16"/>
      <c r="B1115" s="43"/>
      <c r="C1115" s="43"/>
    </row>
    <row r="1116">
      <c r="A1116" s="16"/>
      <c r="B1116" s="43"/>
      <c r="C1116" s="43"/>
    </row>
    <row r="1117">
      <c r="A1117" s="16"/>
      <c r="B1117" s="43"/>
      <c r="C1117" s="43"/>
    </row>
    <row r="1118">
      <c r="A1118" s="16"/>
      <c r="B1118" s="43"/>
      <c r="C1118" s="43"/>
    </row>
    <row r="1119">
      <c r="A1119" s="16"/>
      <c r="B1119" s="43"/>
      <c r="C1119" s="43"/>
    </row>
    <row r="1120">
      <c r="A1120" s="16"/>
      <c r="B1120" s="43"/>
      <c r="C1120" s="43"/>
    </row>
    <row r="1121">
      <c r="A1121" s="16"/>
      <c r="B1121" s="43"/>
      <c r="C1121" s="43"/>
    </row>
    <row r="1122">
      <c r="A1122" s="16"/>
      <c r="B1122" s="43"/>
      <c r="C1122" s="43"/>
    </row>
    <row r="1123">
      <c r="A1123" s="16"/>
      <c r="B1123" s="43"/>
      <c r="C1123" s="43"/>
    </row>
    <row r="1124">
      <c r="A1124" s="16"/>
      <c r="B1124" s="43"/>
      <c r="C1124" s="43"/>
    </row>
    <row r="1125">
      <c r="A1125" s="16"/>
      <c r="B1125" s="43"/>
      <c r="C1125" s="43"/>
    </row>
    <row r="1126">
      <c r="A1126" s="16"/>
      <c r="B1126" s="43"/>
      <c r="C1126" s="43"/>
    </row>
    <row r="1127">
      <c r="A1127" s="16"/>
      <c r="B1127" s="43"/>
      <c r="C1127" s="43"/>
    </row>
    <row r="1128">
      <c r="A1128" s="16"/>
      <c r="B1128" s="43"/>
      <c r="C1128" s="43"/>
    </row>
    <row r="1129">
      <c r="A1129" s="16"/>
      <c r="B1129" s="43"/>
      <c r="C1129" s="43"/>
    </row>
    <row r="1130">
      <c r="A1130" s="16"/>
      <c r="B1130" s="43"/>
      <c r="C1130" s="43"/>
    </row>
    <row r="1131">
      <c r="A1131" s="16"/>
      <c r="B1131" s="43"/>
      <c r="C1131" s="43"/>
    </row>
    <row r="1132">
      <c r="A1132" s="16"/>
      <c r="B1132" s="43"/>
      <c r="C1132" s="43"/>
    </row>
    <row r="1133">
      <c r="A1133" s="16"/>
      <c r="B1133" s="43"/>
      <c r="C1133" s="43"/>
    </row>
    <row r="1134">
      <c r="A1134" s="16"/>
      <c r="B1134" s="43"/>
      <c r="C1134" s="43"/>
    </row>
    <row r="1135">
      <c r="A1135" s="16"/>
      <c r="B1135" s="43"/>
      <c r="C1135" s="43"/>
    </row>
    <row r="1136">
      <c r="A1136" s="16"/>
      <c r="B1136" s="43"/>
      <c r="C1136" s="43"/>
    </row>
    <row r="1137">
      <c r="A1137" s="16"/>
      <c r="B1137" s="43"/>
      <c r="C1137" s="43"/>
    </row>
    <row r="1138">
      <c r="A1138" s="16"/>
      <c r="B1138" s="43"/>
      <c r="C1138" s="43"/>
    </row>
    <row r="1139">
      <c r="A1139" s="16"/>
      <c r="B1139" s="43"/>
      <c r="C1139" s="43"/>
    </row>
    <row r="1140">
      <c r="A1140" s="16"/>
      <c r="B1140" s="43"/>
      <c r="C1140" s="43"/>
    </row>
    <row r="1141">
      <c r="A1141" s="16"/>
      <c r="B1141" s="43"/>
      <c r="C1141" s="43"/>
    </row>
    <row r="1142">
      <c r="A1142" s="16"/>
      <c r="B1142" s="43"/>
      <c r="C1142" s="43"/>
    </row>
    <row r="1143">
      <c r="A1143" s="16"/>
      <c r="B1143" s="43"/>
      <c r="C1143" s="43"/>
    </row>
    <row r="1144">
      <c r="A1144" s="16"/>
      <c r="B1144" s="43"/>
      <c r="C1144" s="43"/>
    </row>
    <row r="1145">
      <c r="A1145" s="16"/>
      <c r="B1145" s="43"/>
      <c r="C1145" s="43"/>
    </row>
    <row r="1146">
      <c r="A1146" s="16"/>
      <c r="B1146" s="43"/>
      <c r="C1146" s="43"/>
    </row>
    <row r="1147">
      <c r="A1147" s="16"/>
      <c r="B1147" s="43"/>
      <c r="C1147" s="43"/>
    </row>
    <row r="1148">
      <c r="A1148" s="16"/>
      <c r="B1148" s="43"/>
      <c r="C1148" s="43"/>
    </row>
    <row r="1149">
      <c r="A1149" s="16"/>
      <c r="B1149" s="43"/>
      <c r="C1149" s="43"/>
    </row>
    <row r="1150">
      <c r="A1150" s="16"/>
      <c r="B1150" s="43"/>
      <c r="C1150" s="43"/>
    </row>
    <row r="1151">
      <c r="A1151" s="16"/>
      <c r="B1151" s="43"/>
      <c r="C1151" s="43"/>
    </row>
    <row r="1152">
      <c r="A1152" s="16"/>
      <c r="B1152" s="43"/>
      <c r="C1152" s="43"/>
    </row>
    <row r="1153">
      <c r="A1153" s="16"/>
      <c r="B1153" s="43"/>
      <c r="C1153" s="43"/>
    </row>
    <row r="1154">
      <c r="A1154" s="16"/>
      <c r="B1154" s="43"/>
      <c r="C1154" s="43"/>
    </row>
    <row r="1155">
      <c r="A1155" s="16"/>
      <c r="B1155" s="43"/>
      <c r="C1155" s="43"/>
    </row>
    <row r="1156">
      <c r="A1156" s="16"/>
      <c r="B1156" s="43"/>
      <c r="C1156" s="43"/>
    </row>
    <row r="1157">
      <c r="A1157" s="16"/>
      <c r="B1157" s="43"/>
      <c r="C1157" s="43"/>
    </row>
    <row r="1158">
      <c r="A1158" s="16"/>
      <c r="B1158" s="43"/>
      <c r="C1158" s="43"/>
    </row>
    <row r="1159">
      <c r="A1159" s="16"/>
      <c r="B1159" s="43"/>
      <c r="C1159" s="43"/>
    </row>
    <row r="1160">
      <c r="A1160" s="16"/>
      <c r="B1160" s="43"/>
      <c r="C1160" s="43"/>
    </row>
    <row r="1161">
      <c r="A1161" s="16"/>
      <c r="B1161" s="43"/>
      <c r="C1161" s="43"/>
    </row>
    <row r="1162">
      <c r="A1162" s="16"/>
      <c r="B1162" s="43"/>
      <c r="C1162" s="43"/>
    </row>
    <row r="1163">
      <c r="A1163" s="16"/>
      <c r="B1163" s="43"/>
      <c r="C1163" s="43"/>
    </row>
    <row r="1164">
      <c r="A1164" s="16"/>
      <c r="B1164" s="43"/>
      <c r="C1164" s="43"/>
    </row>
    <row r="1165">
      <c r="A1165" s="16"/>
      <c r="B1165" s="43"/>
      <c r="C1165" s="43"/>
    </row>
    <row r="1166">
      <c r="A1166" s="16"/>
      <c r="B1166" s="43"/>
      <c r="C1166" s="43"/>
    </row>
    <row r="1167">
      <c r="A1167" s="16"/>
      <c r="B1167" s="43"/>
      <c r="C1167" s="43"/>
    </row>
    <row r="1168">
      <c r="A1168" s="16"/>
      <c r="B1168" s="43"/>
      <c r="C1168" s="43"/>
    </row>
    <row r="1169">
      <c r="A1169" s="16"/>
      <c r="B1169" s="43"/>
      <c r="C1169" s="43"/>
    </row>
    <row r="1170">
      <c r="A1170" s="16"/>
      <c r="B1170" s="43"/>
      <c r="C1170" s="43"/>
    </row>
    <row r="1171">
      <c r="A1171" s="16"/>
      <c r="B1171" s="43"/>
      <c r="C1171" s="43"/>
    </row>
    <row r="1172">
      <c r="A1172" s="16"/>
      <c r="B1172" s="43"/>
      <c r="C1172" s="43"/>
    </row>
    <row r="1173">
      <c r="A1173" s="16"/>
      <c r="B1173" s="43"/>
      <c r="C1173" s="43"/>
    </row>
    <row r="1174">
      <c r="A1174" s="16"/>
      <c r="B1174" s="43"/>
      <c r="C1174" s="43"/>
    </row>
    <row r="1175">
      <c r="A1175" s="16"/>
      <c r="B1175" s="43"/>
      <c r="C1175" s="43"/>
    </row>
    <row r="1176">
      <c r="A1176" s="16"/>
      <c r="B1176" s="43"/>
      <c r="C1176" s="43"/>
    </row>
    <row r="1177">
      <c r="A1177" s="16"/>
      <c r="B1177" s="43"/>
      <c r="C1177" s="43"/>
    </row>
    <row r="1178">
      <c r="A1178" s="16"/>
      <c r="B1178" s="43"/>
      <c r="C1178" s="43"/>
    </row>
    <row r="1179">
      <c r="A1179" s="16"/>
      <c r="B1179" s="43"/>
      <c r="C1179" s="43"/>
    </row>
    <row r="1180">
      <c r="A1180" s="16"/>
      <c r="B1180" s="43"/>
      <c r="C1180" s="43"/>
    </row>
    <row r="1181">
      <c r="A1181" s="16"/>
      <c r="B1181" s="43"/>
      <c r="C1181" s="43"/>
    </row>
    <row r="1182">
      <c r="A1182" s="16"/>
      <c r="B1182" s="43"/>
      <c r="C1182" s="43"/>
    </row>
    <row r="1183">
      <c r="A1183" s="16"/>
      <c r="B1183" s="43"/>
      <c r="C1183" s="43"/>
    </row>
    <row r="1184">
      <c r="A1184" s="16"/>
      <c r="B1184" s="43"/>
      <c r="C1184" s="43"/>
    </row>
    <row r="1185">
      <c r="A1185" s="16"/>
      <c r="B1185" s="43"/>
      <c r="C1185" s="43"/>
    </row>
    <row r="1186">
      <c r="A1186" s="16"/>
      <c r="B1186" s="43"/>
      <c r="C1186" s="43"/>
    </row>
    <row r="1187">
      <c r="A1187" s="16"/>
      <c r="B1187" s="43"/>
      <c r="C1187" s="43"/>
    </row>
    <row r="1188">
      <c r="A1188" s="16"/>
      <c r="B1188" s="43"/>
      <c r="C1188" s="43"/>
    </row>
    <row r="1189">
      <c r="A1189" s="16"/>
      <c r="B1189" s="43"/>
      <c r="C1189" s="43"/>
    </row>
    <row r="1190">
      <c r="A1190" s="16"/>
      <c r="B1190" s="43"/>
      <c r="C1190" s="43"/>
    </row>
    <row r="1191">
      <c r="A1191" s="16"/>
      <c r="B1191" s="43"/>
      <c r="C1191" s="43"/>
    </row>
    <row r="1192">
      <c r="A1192" s="16"/>
      <c r="B1192" s="43"/>
      <c r="C1192" s="43"/>
    </row>
    <row r="1193">
      <c r="A1193" s="16"/>
      <c r="B1193" s="43"/>
      <c r="C1193" s="43"/>
    </row>
    <row r="1194">
      <c r="A1194" s="16"/>
      <c r="B1194" s="43"/>
      <c r="C1194" s="43"/>
    </row>
    <row r="1195">
      <c r="A1195" s="16"/>
      <c r="B1195" s="43"/>
      <c r="C1195" s="43"/>
    </row>
    <row r="1196">
      <c r="A1196" s="16"/>
      <c r="B1196" s="43"/>
      <c r="C1196" s="43"/>
    </row>
    <row r="1197">
      <c r="A1197" s="16"/>
      <c r="B1197" s="43"/>
      <c r="C1197" s="43"/>
    </row>
    <row r="1198">
      <c r="A1198" s="16"/>
      <c r="B1198" s="43"/>
      <c r="C1198" s="43"/>
    </row>
    <row r="1199">
      <c r="A1199" s="16"/>
      <c r="B1199" s="43"/>
      <c r="C1199" s="43"/>
    </row>
    <row r="1200">
      <c r="A1200" s="16"/>
      <c r="B1200" s="43"/>
      <c r="C1200" s="43"/>
    </row>
    <row r="1201">
      <c r="A1201" s="16"/>
      <c r="B1201" s="43"/>
      <c r="C1201" s="43"/>
    </row>
    <row r="1202">
      <c r="A1202" s="16"/>
      <c r="B1202" s="43"/>
      <c r="C1202" s="43"/>
    </row>
    <row r="1203">
      <c r="A1203" s="16"/>
      <c r="B1203" s="43"/>
      <c r="C1203" s="43"/>
    </row>
    <row r="1204">
      <c r="A1204" s="16"/>
      <c r="B1204" s="43"/>
      <c r="C1204" s="43"/>
    </row>
    <row r="1205">
      <c r="A1205" s="16"/>
      <c r="B1205" s="43"/>
      <c r="C1205" s="43"/>
    </row>
    <row r="1206">
      <c r="A1206" s="16"/>
      <c r="B1206" s="43"/>
      <c r="C1206" s="43"/>
    </row>
    <row r="1207">
      <c r="A1207" s="16"/>
      <c r="B1207" s="43"/>
      <c r="C1207" s="43"/>
    </row>
    <row r="1208">
      <c r="A1208" s="16"/>
      <c r="B1208" s="43"/>
      <c r="C1208" s="43"/>
    </row>
    <row r="1209">
      <c r="A1209" s="16"/>
      <c r="B1209" s="43"/>
      <c r="C1209" s="43"/>
    </row>
    <row r="1210">
      <c r="A1210" s="16"/>
      <c r="B1210" s="43"/>
      <c r="C1210" s="43"/>
    </row>
    <row r="1211">
      <c r="A1211" s="16"/>
      <c r="B1211" s="43"/>
      <c r="C1211" s="43"/>
    </row>
    <row r="1212">
      <c r="A1212" s="16"/>
      <c r="B1212" s="43"/>
      <c r="C1212" s="43"/>
    </row>
  </sheetData>
  <mergeCells count="1">
    <mergeCell ref="A1:C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2.75"/>
  <cols>
    <col customWidth="1" min="1" max="1" width="54.14"/>
    <col customWidth="1" min="2" max="2" width="17.29"/>
    <col customWidth="1" min="3" max="3" width="25.14"/>
    <col customWidth="1" min="4" max="4" width="23.0"/>
    <col customWidth="1" min="5" max="5" width="23.43"/>
    <col customWidth="1" min="6" max="6" width="17.29"/>
    <col customWidth="1" min="7" max="7" width="12.71"/>
    <col customWidth="1" min="8" max="20" width="17.29"/>
  </cols>
  <sheetData>
    <row r="1">
      <c r="A1" s="6" t="s">
        <v>1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</row>
    <row r="2">
      <c r="A2" s="8"/>
      <c r="B2" s="8"/>
      <c r="C2" s="10"/>
      <c r="D2" s="8"/>
      <c r="E2" s="8"/>
      <c r="F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</row>
    <row r="3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</row>
    <row r="4">
      <c r="A4" s="8"/>
      <c r="B4" s="8"/>
      <c r="C4" s="12" t="s">
        <v>7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</row>
    <row r="6">
      <c r="A6" s="8"/>
      <c r="B6" s="8"/>
      <c r="C6" s="14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</row>
    <row r="7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</row>
    <row r="8" ht="23.25" customHeight="1">
      <c r="A8" s="17" t="s">
        <v>4</v>
      </c>
      <c r="B8" s="8"/>
      <c r="C8" s="8"/>
      <c r="D8" s="8"/>
      <c r="E8" s="8"/>
      <c r="F8" s="8"/>
      <c r="G8" s="19" t="s">
        <v>19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>
      <c r="A9" s="20"/>
      <c r="B9" s="8"/>
      <c r="C9" s="8"/>
      <c r="D9" s="6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</row>
    <row r="10">
      <c r="A10" s="8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>
      <c r="A11" s="22" t="s">
        <v>5</v>
      </c>
      <c r="B11" s="22" t="s">
        <v>45</v>
      </c>
      <c r="C11" s="22" t="s">
        <v>46</v>
      </c>
      <c r="D11" s="22" t="s">
        <v>48</v>
      </c>
      <c r="E11" s="23" t="s">
        <v>51</v>
      </c>
      <c r="F11" s="24"/>
      <c r="G11" s="25" t="s">
        <v>66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</row>
    <row r="12">
      <c r="A12" s="16" t="s">
        <v>77</v>
      </c>
      <c r="B12" s="26">
        <v>20.0</v>
      </c>
      <c r="C12" s="26">
        <v>81190.0</v>
      </c>
      <c r="D12" s="31">
        <f t="shared" ref="D12:D162" si="1">C12/2</f>
        <v>40595</v>
      </c>
      <c r="E12" s="31">
        <f t="shared" ref="E12:E13" si="2">C12/7</f>
        <v>11598.57143</v>
      </c>
      <c r="F12" s="8"/>
      <c r="G12" s="26">
        <v>1.6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</row>
    <row r="13">
      <c r="A13" s="16" t="s">
        <v>147</v>
      </c>
      <c r="B13" s="26">
        <v>75.0</v>
      </c>
      <c r="C13" s="26">
        <v>101194.0</v>
      </c>
      <c r="D13" s="31">
        <f t="shared" si="1"/>
        <v>50597</v>
      </c>
      <c r="E13" s="31">
        <f t="shared" si="2"/>
        <v>14456.28571</v>
      </c>
      <c r="F13" s="8"/>
      <c r="G13" s="26">
        <v>1.35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>
      <c r="A14" s="16" t="s">
        <v>27</v>
      </c>
      <c r="B14" s="26">
        <v>400.0</v>
      </c>
      <c r="C14" s="31">
        <v>109979.0</v>
      </c>
      <c r="D14" s="31">
        <f t="shared" si="1"/>
        <v>54989.5</v>
      </c>
      <c r="E14" s="31">
        <f t="shared" ref="E14:E162" si="3">C14/5</f>
        <v>21995.8</v>
      </c>
      <c r="F14" s="8"/>
      <c r="G14" s="26">
        <v>2.94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</row>
    <row r="15">
      <c r="A15" s="16" t="s">
        <v>29</v>
      </c>
      <c r="B15" s="26">
        <v>4000.0</v>
      </c>
      <c r="C15" s="31">
        <v>297174.0</v>
      </c>
      <c r="D15" s="31">
        <f t="shared" si="1"/>
        <v>148587</v>
      </c>
      <c r="E15" s="31">
        <f t="shared" si="3"/>
        <v>59434.8</v>
      </c>
      <c r="F15" s="8"/>
      <c r="G15" s="26">
        <v>6.45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</row>
    <row r="16">
      <c r="A16" s="16" t="s">
        <v>31</v>
      </c>
      <c r="B16" s="26">
        <v>2500.0</v>
      </c>
      <c r="C16" s="31">
        <v>177055.0</v>
      </c>
      <c r="D16" s="31">
        <f t="shared" si="1"/>
        <v>88527.5</v>
      </c>
      <c r="E16" s="31">
        <f t="shared" si="3"/>
        <v>35411</v>
      </c>
      <c r="F16" s="8"/>
      <c r="G16" s="26">
        <v>2.95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>
      <c r="A17" s="16" t="s">
        <v>32</v>
      </c>
      <c r="B17" s="26">
        <v>20000.0</v>
      </c>
      <c r="C17" s="31">
        <v>474808.0</v>
      </c>
      <c r="D17" s="31">
        <f t="shared" si="1"/>
        <v>237404</v>
      </c>
      <c r="E17" s="31">
        <f t="shared" si="3"/>
        <v>94961.6</v>
      </c>
      <c r="F17" s="8"/>
      <c r="G17" s="26">
        <v>5.98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</row>
    <row r="18">
      <c r="A18" s="16" t="s">
        <v>34</v>
      </c>
      <c r="B18" s="26">
        <v>700.0</v>
      </c>
      <c r="C18" s="31">
        <v>84566.0</v>
      </c>
      <c r="D18" s="31">
        <f t="shared" si="1"/>
        <v>42283</v>
      </c>
      <c r="E18" s="31">
        <f t="shared" si="3"/>
        <v>16913.2</v>
      </c>
      <c r="F18" s="8"/>
      <c r="G18" s="26">
        <v>2.95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>
      <c r="A19" s="16" t="s">
        <v>36</v>
      </c>
      <c r="B19" s="26">
        <v>2500.0</v>
      </c>
      <c r="C19" s="31">
        <v>97815.0</v>
      </c>
      <c r="D19" s="31">
        <f t="shared" si="1"/>
        <v>48907.5</v>
      </c>
      <c r="E19" s="31">
        <f t="shared" si="3"/>
        <v>19563</v>
      </c>
      <c r="F19" s="8"/>
      <c r="G19" s="26">
        <v>3.26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>
      <c r="A20" s="16" t="s">
        <v>37</v>
      </c>
      <c r="B20" s="26">
        <v>500.0</v>
      </c>
      <c r="C20" s="31">
        <v>131540.0</v>
      </c>
      <c r="D20" s="31">
        <f t="shared" si="1"/>
        <v>65770</v>
      </c>
      <c r="E20" s="31">
        <f t="shared" si="3"/>
        <v>26308</v>
      </c>
      <c r="F20" s="8"/>
      <c r="G20" s="26">
        <v>2.95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</row>
    <row r="21">
      <c r="A21" s="16" t="s">
        <v>39</v>
      </c>
      <c r="B21" s="26">
        <v>3000.0</v>
      </c>
      <c r="C21" s="31">
        <v>100721.0</v>
      </c>
      <c r="D21" s="31">
        <f t="shared" si="1"/>
        <v>50360.5</v>
      </c>
      <c r="E21" s="31">
        <f t="shared" si="3"/>
        <v>20144.2</v>
      </c>
      <c r="F21" s="8"/>
      <c r="G21" s="26">
        <v>2.95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</row>
    <row r="22">
      <c r="A22" s="16" t="s">
        <v>40</v>
      </c>
      <c r="B22" s="26">
        <v>6000.0</v>
      </c>
      <c r="C22" s="31">
        <v>118854.0</v>
      </c>
      <c r="D22" s="31">
        <f t="shared" si="1"/>
        <v>59427</v>
      </c>
      <c r="E22" s="31">
        <f t="shared" si="3"/>
        <v>23770.8</v>
      </c>
      <c r="F22" s="8"/>
      <c r="G22" s="26">
        <v>4.27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</row>
    <row r="23">
      <c r="A23" s="16" t="s">
        <v>42</v>
      </c>
      <c r="B23" s="26">
        <v>600.0</v>
      </c>
      <c r="C23" s="31">
        <v>194431.0</v>
      </c>
      <c r="D23" s="31">
        <f t="shared" si="1"/>
        <v>97215.5</v>
      </c>
      <c r="E23" s="31">
        <f t="shared" si="3"/>
        <v>38886.2</v>
      </c>
      <c r="F23" s="8"/>
      <c r="G23" s="26">
        <v>2.95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</row>
    <row r="24">
      <c r="A24" s="16" t="s">
        <v>43</v>
      </c>
      <c r="B24" s="26">
        <v>1000.0</v>
      </c>
      <c r="C24" s="31">
        <v>121081.0</v>
      </c>
      <c r="D24" s="31">
        <f t="shared" si="1"/>
        <v>60540.5</v>
      </c>
      <c r="E24" s="31">
        <f t="shared" si="3"/>
        <v>24216.2</v>
      </c>
      <c r="F24" s="8"/>
      <c r="G24" s="26">
        <v>4.4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</row>
    <row r="25">
      <c r="A25" s="16" t="s">
        <v>44</v>
      </c>
      <c r="B25" s="26">
        <v>1200.0</v>
      </c>
      <c r="C25" s="31">
        <v>159852.0</v>
      </c>
      <c r="D25" s="31">
        <f t="shared" si="1"/>
        <v>79926</v>
      </c>
      <c r="E25" s="31">
        <f t="shared" si="3"/>
        <v>31970.4</v>
      </c>
      <c r="F25" s="8"/>
      <c r="G25" s="26">
        <v>2.95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</row>
    <row r="26">
      <c r="A26" s="16" t="s">
        <v>49</v>
      </c>
      <c r="B26" s="26">
        <v>250.0</v>
      </c>
      <c r="C26" s="31">
        <v>143745.0</v>
      </c>
      <c r="D26" s="31">
        <f t="shared" si="1"/>
        <v>71872.5</v>
      </c>
      <c r="E26" s="31">
        <f t="shared" si="3"/>
        <v>28749</v>
      </c>
      <c r="F26" s="8"/>
      <c r="G26" s="26">
        <v>2.95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</row>
    <row r="27">
      <c r="A27" s="16" t="s">
        <v>52</v>
      </c>
      <c r="B27" s="26">
        <v>125.0</v>
      </c>
      <c r="C27" s="31">
        <v>179876.0</v>
      </c>
      <c r="D27" s="31">
        <f t="shared" si="1"/>
        <v>89938</v>
      </c>
      <c r="E27" s="31">
        <f t="shared" si="3"/>
        <v>35975.2</v>
      </c>
      <c r="F27" s="8"/>
      <c r="G27" s="26">
        <v>2.95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</row>
    <row r="28">
      <c r="A28" s="16" t="s">
        <v>53</v>
      </c>
      <c r="B28" s="26">
        <v>250.0</v>
      </c>
      <c r="C28" s="31">
        <v>181380.0</v>
      </c>
      <c r="D28" s="31">
        <f t="shared" si="1"/>
        <v>90690</v>
      </c>
      <c r="E28" s="31">
        <f t="shared" si="3"/>
        <v>36276</v>
      </c>
      <c r="F28" s="8"/>
      <c r="G28" s="26">
        <v>3.05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</row>
    <row r="29">
      <c r="A29" s="16" t="s">
        <v>54</v>
      </c>
      <c r="B29" s="26">
        <v>800.0</v>
      </c>
      <c r="C29" s="31">
        <v>123614.0</v>
      </c>
      <c r="D29" s="31">
        <f t="shared" si="1"/>
        <v>61807</v>
      </c>
      <c r="E29" s="31">
        <f t="shared" si="3"/>
        <v>24722.8</v>
      </c>
      <c r="F29" s="8"/>
      <c r="G29" s="26">
        <v>2.95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</row>
    <row r="30">
      <c r="A30" s="16" t="s">
        <v>55</v>
      </c>
      <c r="B30" s="26">
        <v>4500.0</v>
      </c>
      <c r="C30" s="31">
        <v>83705.0</v>
      </c>
      <c r="D30" s="31">
        <f t="shared" si="1"/>
        <v>41852.5</v>
      </c>
      <c r="E30" s="31">
        <f t="shared" si="3"/>
        <v>16741</v>
      </c>
      <c r="F30" s="8"/>
      <c r="G30" s="26">
        <v>3.22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</row>
    <row r="31">
      <c r="A31" s="16" t="s">
        <v>57</v>
      </c>
      <c r="B31" s="26">
        <v>6000.0</v>
      </c>
      <c r="C31" s="31">
        <v>102105.0</v>
      </c>
      <c r="D31" s="31">
        <f t="shared" si="1"/>
        <v>51052.5</v>
      </c>
      <c r="E31" s="31">
        <f t="shared" si="3"/>
        <v>20421</v>
      </c>
      <c r="F31" s="8"/>
      <c r="G31" s="26">
        <v>3.76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</row>
    <row r="32">
      <c r="A32" s="16" t="s">
        <v>58</v>
      </c>
      <c r="B32" s="26">
        <v>550.0</v>
      </c>
      <c r="C32" s="31">
        <v>173667.0</v>
      </c>
      <c r="D32" s="31">
        <f t="shared" si="1"/>
        <v>86833.5</v>
      </c>
      <c r="E32" s="31">
        <f t="shared" si="3"/>
        <v>34733.4</v>
      </c>
      <c r="F32" s="8"/>
      <c r="G32" s="26">
        <v>2.95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</row>
    <row r="33">
      <c r="A33" s="16" t="s">
        <v>59</v>
      </c>
      <c r="B33" s="26">
        <v>6000.0</v>
      </c>
      <c r="C33" s="31">
        <v>127055.0</v>
      </c>
      <c r="D33" s="31">
        <f t="shared" si="1"/>
        <v>63527.5</v>
      </c>
      <c r="E33" s="31">
        <f t="shared" si="3"/>
        <v>25411</v>
      </c>
      <c r="F33" s="8"/>
      <c r="G33" s="26">
        <v>2.95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</row>
    <row r="34">
      <c r="A34" s="16" t="s">
        <v>60</v>
      </c>
      <c r="B34" s="26">
        <v>2200.0</v>
      </c>
      <c r="C34" s="31">
        <v>204282.0</v>
      </c>
      <c r="D34" s="31">
        <f t="shared" si="1"/>
        <v>102141</v>
      </c>
      <c r="E34" s="31">
        <f t="shared" si="3"/>
        <v>40856.4</v>
      </c>
      <c r="F34" s="8"/>
      <c r="G34" s="26">
        <v>3.14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</row>
    <row r="35">
      <c r="A35" s="16" t="s">
        <v>62</v>
      </c>
      <c r="B35" s="26">
        <v>1200.0</v>
      </c>
      <c r="C35" s="31">
        <v>99601.0</v>
      </c>
      <c r="D35" s="31">
        <f t="shared" si="1"/>
        <v>49800.5</v>
      </c>
      <c r="E35" s="31">
        <f t="shared" si="3"/>
        <v>19920.2</v>
      </c>
      <c r="F35" s="8"/>
      <c r="G35" s="26">
        <v>3.01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</row>
    <row r="36">
      <c r="A36" s="16" t="s">
        <v>63</v>
      </c>
      <c r="B36" s="26">
        <v>1851.0</v>
      </c>
      <c r="C36" s="31">
        <v>134652.0</v>
      </c>
      <c r="D36" s="31">
        <f t="shared" si="1"/>
        <v>67326</v>
      </c>
      <c r="E36" s="31">
        <f t="shared" si="3"/>
        <v>26930.4</v>
      </c>
      <c r="F36" s="8"/>
      <c r="G36" s="26">
        <v>3.29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</row>
    <row r="37">
      <c r="A37" s="16" t="s">
        <v>64</v>
      </c>
      <c r="B37" s="26">
        <v>7500.0</v>
      </c>
      <c r="C37" s="31">
        <v>150515.0</v>
      </c>
      <c r="D37" s="31">
        <f t="shared" si="1"/>
        <v>75257.5</v>
      </c>
      <c r="E37" s="31">
        <f t="shared" si="3"/>
        <v>30103</v>
      </c>
      <c r="F37" s="8"/>
      <c r="G37" s="26">
        <v>5.49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</row>
    <row r="38">
      <c r="A38" s="16" t="s">
        <v>65</v>
      </c>
      <c r="B38" s="26">
        <v>1800.0</v>
      </c>
      <c r="C38" s="31">
        <v>80004.0</v>
      </c>
      <c r="D38" s="31">
        <f t="shared" si="1"/>
        <v>40002</v>
      </c>
      <c r="E38" s="31">
        <f t="shared" si="3"/>
        <v>16000.8</v>
      </c>
      <c r="F38" s="8"/>
      <c r="G38" s="26">
        <v>2.98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</row>
    <row r="39">
      <c r="A39" s="16" t="s">
        <v>67</v>
      </c>
      <c r="B39" s="26">
        <v>30.0</v>
      </c>
      <c r="C39" s="31">
        <v>95049.0</v>
      </c>
      <c r="D39" s="31">
        <f t="shared" si="1"/>
        <v>47524.5</v>
      </c>
      <c r="E39" s="31">
        <f t="shared" si="3"/>
        <v>19009.8</v>
      </c>
      <c r="F39" s="8"/>
      <c r="G39" s="26">
        <v>3.42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</row>
    <row r="40">
      <c r="A40" s="16" t="s">
        <v>68</v>
      </c>
      <c r="B40" s="26">
        <v>1800.0</v>
      </c>
      <c r="C40" s="31">
        <v>204372.0</v>
      </c>
      <c r="D40" s="31">
        <f t="shared" si="1"/>
        <v>102186</v>
      </c>
      <c r="E40" s="31">
        <f t="shared" si="3"/>
        <v>40874.4</v>
      </c>
      <c r="F40" s="8"/>
      <c r="G40" s="26">
        <v>3.66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</row>
    <row r="41">
      <c r="A41" s="16" t="s">
        <v>69</v>
      </c>
      <c r="B41" s="26">
        <v>200.0</v>
      </c>
      <c r="C41" s="31">
        <v>117372.0</v>
      </c>
      <c r="D41" s="31">
        <f t="shared" si="1"/>
        <v>58686</v>
      </c>
      <c r="E41" s="31">
        <f t="shared" si="3"/>
        <v>23474.4</v>
      </c>
      <c r="F41" s="8"/>
      <c r="G41" s="26">
        <v>2.94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</row>
    <row r="42">
      <c r="A42" s="16" t="s">
        <v>71</v>
      </c>
      <c r="B42" s="26">
        <v>1600.0</v>
      </c>
      <c r="C42" s="31">
        <v>71430.0</v>
      </c>
      <c r="D42" s="31">
        <f t="shared" si="1"/>
        <v>35715</v>
      </c>
      <c r="E42" s="31">
        <f t="shared" si="3"/>
        <v>14286</v>
      </c>
      <c r="F42" s="8"/>
      <c r="G42" s="26">
        <v>2.95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</row>
    <row r="43">
      <c r="A43" s="16" t="s">
        <v>72</v>
      </c>
      <c r="B43" s="26">
        <v>2000.0</v>
      </c>
      <c r="C43" s="31">
        <v>78875.0</v>
      </c>
      <c r="D43" s="31">
        <f t="shared" si="1"/>
        <v>39437.5</v>
      </c>
      <c r="E43" s="31">
        <f t="shared" si="3"/>
        <v>15775</v>
      </c>
      <c r="F43" s="8"/>
      <c r="G43" s="26">
        <v>3.29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</row>
    <row r="44">
      <c r="A44" s="16" t="s">
        <v>73</v>
      </c>
      <c r="B44" s="26">
        <v>3400.0</v>
      </c>
      <c r="C44" s="31">
        <v>109169.0</v>
      </c>
      <c r="D44" s="31">
        <f t="shared" si="1"/>
        <v>54584.5</v>
      </c>
      <c r="E44" s="31">
        <f t="shared" si="3"/>
        <v>21833.8</v>
      </c>
      <c r="F44" s="8"/>
      <c r="G44" s="26">
        <v>3.46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</row>
    <row r="45">
      <c r="A45" s="16" t="s">
        <v>75</v>
      </c>
      <c r="B45" s="26">
        <v>600.0</v>
      </c>
      <c r="C45" s="31">
        <v>65501.0</v>
      </c>
      <c r="D45" s="31">
        <f t="shared" si="1"/>
        <v>32750.5</v>
      </c>
      <c r="E45" s="31">
        <f t="shared" si="3"/>
        <v>13100.2</v>
      </c>
      <c r="F45" s="8"/>
      <c r="G45" s="26">
        <v>4.33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</row>
    <row r="46">
      <c r="A46" s="16" t="s">
        <v>76</v>
      </c>
      <c r="B46" s="26">
        <v>800.0</v>
      </c>
      <c r="C46" s="31">
        <v>115481.0</v>
      </c>
      <c r="D46" s="31">
        <f t="shared" si="1"/>
        <v>57740.5</v>
      </c>
      <c r="E46" s="31">
        <f t="shared" si="3"/>
        <v>23096.2</v>
      </c>
      <c r="F46" s="8"/>
      <c r="G46" s="26">
        <v>2.94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</row>
    <row r="47">
      <c r="A47" s="16" t="s">
        <v>79</v>
      </c>
      <c r="B47" s="26">
        <v>2500.0</v>
      </c>
      <c r="C47" s="31">
        <v>167076.0</v>
      </c>
      <c r="D47" s="31">
        <f t="shared" si="1"/>
        <v>83538</v>
      </c>
      <c r="E47" s="31">
        <f t="shared" si="3"/>
        <v>33415.2</v>
      </c>
      <c r="F47" s="8"/>
      <c r="G47" s="26">
        <v>3.59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</row>
    <row r="48">
      <c r="A48" s="16" t="s">
        <v>80</v>
      </c>
      <c r="B48" s="26">
        <v>1000.0</v>
      </c>
      <c r="C48" s="31">
        <v>83108.0</v>
      </c>
      <c r="D48" s="31">
        <f t="shared" si="1"/>
        <v>41554</v>
      </c>
      <c r="E48" s="31">
        <f t="shared" si="3"/>
        <v>16621.6</v>
      </c>
      <c r="F48" s="8"/>
      <c r="G48" s="26">
        <v>2.95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</row>
    <row r="49">
      <c r="A49" s="16" t="s">
        <v>81</v>
      </c>
      <c r="B49" s="26">
        <v>2200.0</v>
      </c>
      <c r="C49" s="31">
        <v>81340.0</v>
      </c>
      <c r="D49" s="31">
        <f t="shared" si="1"/>
        <v>40670</v>
      </c>
      <c r="E49" s="31">
        <f t="shared" si="3"/>
        <v>16268</v>
      </c>
      <c r="F49" s="8"/>
      <c r="G49" s="26">
        <v>2.97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</row>
    <row r="50">
      <c r="A50" s="16" t="s">
        <v>83</v>
      </c>
      <c r="B50" s="26">
        <v>700.0</v>
      </c>
      <c r="C50" s="31">
        <v>191276.0</v>
      </c>
      <c r="D50" s="31">
        <f t="shared" si="1"/>
        <v>95638</v>
      </c>
      <c r="E50" s="31">
        <f t="shared" si="3"/>
        <v>38255.2</v>
      </c>
      <c r="F50" s="8"/>
      <c r="G50" s="26">
        <v>2.95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</row>
    <row r="51">
      <c r="A51" s="16" t="s">
        <v>84</v>
      </c>
      <c r="B51" s="26">
        <v>1563.0</v>
      </c>
      <c r="C51" s="31">
        <v>180634.0</v>
      </c>
      <c r="D51" s="31">
        <f t="shared" si="1"/>
        <v>90317</v>
      </c>
      <c r="E51" s="31">
        <f t="shared" si="3"/>
        <v>36126.8</v>
      </c>
      <c r="F51" s="8"/>
      <c r="G51" s="26">
        <v>3.29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</row>
    <row r="52">
      <c r="A52" s="16" t="s">
        <v>85</v>
      </c>
      <c r="B52" s="26">
        <v>700.0</v>
      </c>
      <c r="C52" s="31">
        <v>69542.0</v>
      </c>
      <c r="D52" s="31">
        <f t="shared" si="1"/>
        <v>34771</v>
      </c>
      <c r="E52" s="31">
        <f t="shared" si="3"/>
        <v>13908.4</v>
      </c>
      <c r="F52" s="8"/>
      <c r="G52" s="26">
        <v>2.94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</row>
    <row r="53">
      <c r="A53" s="16" t="s">
        <v>86</v>
      </c>
      <c r="B53" s="26">
        <v>1250.0</v>
      </c>
      <c r="C53" s="31">
        <v>103290.0</v>
      </c>
      <c r="D53" s="31">
        <f t="shared" si="1"/>
        <v>51645</v>
      </c>
      <c r="E53" s="31">
        <f t="shared" si="3"/>
        <v>20658</v>
      </c>
      <c r="F53" s="8"/>
      <c r="G53" s="26">
        <v>2.95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</row>
    <row r="54">
      <c r="A54" s="16" t="s">
        <v>87</v>
      </c>
      <c r="B54" s="26">
        <v>14000.0</v>
      </c>
      <c r="C54" s="31">
        <v>89792.0</v>
      </c>
      <c r="D54" s="31">
        <f t="shared" si="1"/>
        <v>44896</v>
      </c>
      <c r="E54" s="31">
        <f t="shared" si="3"/>
        <v>17958.4</v>
      </c>
      <c r="F54" s="8"/>
      <c r="G54" s="26">
        <v>9.94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</row>
    <row r="55">
      <c r="A55" s="16" t="s">
        <v>88</v>
      </c>
      <c r="B55" s="26">
        <v>400.0</v>
      </c>
      <c r="C55" s="31">
        <v>124191.0</v>
      </c>
      <c r="D55" s="31">
        <f t="shared" si="1"/>
        <v>62095.5</v>
      </c>
      <c r="E55" s="31">
        <f t="shared" si="3"/>
        <v>24838.2</v>
      </c>
      <c r="F55" s="8"/>
      <c r="G55" s="26">
        <v>2.95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</row>
    <row r="56">
      <c r="A56" s="16" t="s">
        <v>89</v>
      </c>
      <c r="B56" s="26">
        <v>2800.0</v>
      </c>
      <c r="C56" s="31">
        <v>119581.0</v>
      </c>
      <c r="D56" s="31">
        <f t="shared" si="1"/>
        <v>59790.5</v>
      </c>
      <c r="E56" s="31">
        <f t="shared" si="3"/>
        <v>23916.2</v>
      </c>
      <c r="F56" s="8"/>
      <c r="G56" s="26">
        <v>3.94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</row>
    <row r="57">
      <c r="A57" s="16" t="s">
        <v>90</v>
      </c>
      <c r="B57" s="26">
        <v>250.0</v>
      </c>
      <c r="C57" s="31">
        <v>122670.0</v>
      </c>
      <c r="D57" s="31">
        <f t="shared" si="1"/>
        <v>61335</v>
      </c>
      <c r="E57" s="31">
        <f t="shared" si="3"/>
        <v>24534</v>
      </c>
      <c r="F57" s="8"/>
      <c r="G57" s="26">
        <v>2.95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</row>
    <row r="58">
      <c r="A58" s="16" t="s">
        <v>91</v>
      </c>
      <c r="B58" s="26">
        <v>25.0</v>
      </c>
      <c r="C58" s="31">
        <v>123425.0</v>
      </c>
      <c r="D58" s="31">
        <f t="shared" si="1"/>
        <v>61712.5</v>
      </c>
      <c r="E58" s="31">
        <f t="shared" si="3"/>
        <v>24685</v>
      </c>
      <c r="F58" s="8"/>
      <c r="G58" s="26">
        <v>3.65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</row>
    <row r="59">
      <c r="A59" s="16" t="s">
        <v>92</v>
      </c>
      <c r="B59" s="26">
        <v>4000.0</v>
      </c>
      <c r="C59" s="31">
        <v>79075.0</v>
      </c>
      <c r="D59" s="31">
        <f t="shared" si="1"/>
        <v>39537.5</v>
      </c>
      <c r="E59" s="31">
        <f t="shared" si="3"/>
        <v>15815</v>
      </c>
      <c r="F59" s="8"/>
      <c r="G59" s="26">
        <v>3.46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</row>
    <row r="60">
      <c r="A60" s="16" t="s">
        <v>93</v>
      </c>
      <c r="B60" s="26">
        <v>1100.0</v>
      </c>
      <c r="C60" s="31">
        <v>158315.0</v>
      </c>
      <c r="D60" s="31">
        <f t="shared" si="1"/>
        <v>79157.5</v>
      </c>
      <c r="E60" s="31">
        <f t="shared" si="3"/>
        <v>31663</v>
      </c>
      <c r="F60" s="8"/>
      <c r="G60" s="26">
        <v>3.64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</row>
    <row r="61">
      <c r="A61" s="16" t="s">
        <v>95</v>
      </c>
      <c r="B61" s="26">
        <v>2400.0</v>
      </c>
      <c r="C61" s="31">
        <v>83023.0</v>
      </c>
      <c r="D61" s="31">
        <f t="shared" si="1"/>
        <v>41511.5</v>
      </c>
      <c r="E61" s="31">
        <f t="shared" si="3"/>
        <v>16604.6</v>
      </c>
      <c r="F61" s="8"/>
      <c r="G61" s="26">
        <v>3.18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</row>
    <row r="62">
      <c r="A62" s="16" t="s">
        <v>97</v>
      </c>
      <c r="B62" s="26">
        <v>7000.0</v>
      </c>
      <c r="C62" s="31">
        <v>109552.0</v>
      </c>
      <c r="D62" s="31">
        <f t="shared" si="1"/>
        <v>54776</v>
      </c>
      <c r="E62" s="31">
        <f t="shared" si="3"/>
        <v>21910.4</v>
      </c>
      <c r="F62" s="8"/>
      <c r="G62" s="26">
        <v>3.2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</row>
    <row r="63">
      <c r="A63" s="16" t="s">
        <v>99</v>
      </c>
      <c r="B63" s="26">
        <v>5334.0</v>
      </c>
      <c r="C63" s="31">
        <v>133231.0</v>
      </c>
      <c r="D63" s="31">
        <f t="shared" si="1"/>
        <v>66615.5</v>
      </c>
      <c r="E63" s="31">
        <f t="shared" si="3"/>
        <v>26646.2</v>
      </c>
      <c r="F63" s="8"/>
      <c r="G63" s="26">
        <v>2.94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</row>
    <row r="64">
      <c r="A64" s="16" t="s">
        <v>101</v>
      </c>
      <c r="B64" s="26">
        <v>1000.0</v>
      </c>
      <c r="C64" s="31">
        <v>57777.0</v>
      </c>
      <c r="D64" s="31">
        <f t="shared" si="1"/>
        <v>28888.5</v>
      </c>
      <c r="E64" s="31">
        <f t="shared" si="3"/>
        <v>11555.4</v>
      </c>
      <c r="F64" s="8"/>
      <c r="G64" s="26">
        <v>3.11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</row>
    <row r="65">
      <c r="A65" s="16" t="s">
        <v>103</v>
      </c>
      <c r="B65" s="26">
        <v>45000.0</v>
      </c>
      <c r="C65" s="31">
        <v>197357.0</v>
      </c>
      <c r="D65" s="31">
        <f t="shared" si="1"/>
        <v>98678.5</v>
      </c>
      <c r="E65" s="31">
        <f t="shared" si="3"/>
        <v>39471.4</v>
      </c>
      <c r="F65" s="8"/>
      <c r="G65" s="26">
        <v>3.59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</row>
    <row r="66">
      <c r="A66" s="16" t="s">
        <v>104</v>
      </c>
      <c r="B66" s="26">
        <v>800.0</v>
      </c>
      <c r="C66" s="31">
        <v>105582.0</v>
      </c>
      <c r="D66" s="31">
        <f t="shared" si="1"/>
        <v>52791</v>
      </c>
      <c r="E66" s="31">
        <f t="shared" si="3"/>
        <v>21116.4</v>
      </c>
      <c r="F66" s="8"/>
      <c r="G66" s="26">
        <v>2.95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</row>
    <row r="67">
      <c r="A67" s="16" t="s">
        <v>105</v>
      </c>
      <c r="B67" s="26">
        <v>750.0</v>
      </c>
      <c r="C67" s="31">
        <v>112255.0</v>
      </c>
      <c r="D67" s="31">
        <f t="shared" si="1"/>
        <v>56127.5</v>
      </c>
      <c r="E67" s="31">
        <f t="shared" si="3"/>
        <v>22451</v>
      </c>
      <c r="F67" s="8"/>
      <c r="G67" s="26">
        <v>3.28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</row>
    <row r="68">
      <c r="A68" s="16" t="s">
        <v>106</v>
      </c>
      <c r="B68" s="26">
        <v>1000.0</v>
      </c>
      <c r="C68" s="31">
        <v>123036.0</v>
      </c>
      <c r="D68" s="31">
        <f t="shared" si="1"/>
        <v>61518</v>
      </c>
      <c r="E68" s="31">
        <f t="shared" si="3"/>
        <v>24607.2</v>
      </c>
      <c r="F68" s="8"/>
      <c r="G68" s="26">
        <v>2.94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</row>
    <row r="69">
      <c r="A69" s="16" t="s">
        <v>107</v>
      </c>
      <c r="B69" s="26">
        <v>700.0</v>
      </c>
      <c r="C69" s="31">
        <v>142488.0</v>
      </c>
      <c r="D69" s="31">
        <f t="shared" si="1"/>
        <v>71244</v>
      </c>
      <c r="E69" s="31">
        <f t="shared" si="3"/>
        <v>28497.6</v>
      </c>
      <c r="F69" s="8"/>
      <c r="G69" s="26">
        <v>2.95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</row>
    <row r="70">
      <c r="A70" s="16" t="s">
        <v>108</v>
      </c>
      <c r="B70" s="26">
        <v>500.0</v>
      </c>
      <c r="C70" s="31">
        <v>187040.0</v>
      </c>
      <c r="D70" s="31">
        <f t="shared" si="1"/>
        <v>93520</v>
      </c>
      <c r="E70" s="31">
        <f t="shared" si="3"/>
        <v>37408</v>
      </c>
      <c r="F70" s="8"/>
      <c r="G70" s="26">
        <v>2.95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</row>
    <row r="71">
      <c r="A71" s="16" t="s">
        <v>109</v>
      </c>
      <c r="B71" s="26">
        <v>500.0</v>
      </c>
      <c r="C71" s="31">
        <v>111494.0</v>
      </c>
      <c r="D71" s="31">
        <f t="shared" si="1"/>
        <v>55747</v>
      </c>
      <c r="E71" s="31">
        <f t="shared" si="3"/>
        <v>22298.8</v>
      </c>
      <c r="F71" s="8"/>
      <c r="G71" s="26">
        <v>2.95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</row>
    <row r="72">
      <c r="A72" s="16" t="s">
        <v>110</v>
      </c>
      <c r="B72" s="26">
        <v>200.0</v>
      </c>
      <c r="C72" s="26">
        <v>95894.0</v>
      </c>
      <c r="D72" s="31">
        <f t="shared" si="1"/>
        <v>47947</v>
      </c>
      <c r="E72" s="31">
        <f t="shared" si="3"/>
        <v>19178.8</v>
      </c>
      <c r="F72" s="8"/>
      <c r="G72" s="26">
        <v>2.97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</row>
    <row r="73">
      <c r="A73" s="16" t="s">
        <v>111</v>
      </c>
      <c r="B73" s="26">
        <v>1500.0</v>
      </c>
      <c r="C73" s="31">
        <v>88399.0</v>
      </c>
      <c r="D73" s="31">
        <f t="shared" si="1"/>
        <v>44199.5</v>
      </c>
      <c r="E73" s="31">
        <f t="shared" si="3"/>
        <v>17679.8</v>
      </c>
      <c r="F73" s="8"/>
      <c r="G73" s="26">
        <v>2.98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</row>
    <row r="74">
      <c r="A74" s="16" t="s">
        <v>113</v>
      </c>
      <c r="B74" s="26">
        <v>3500.0</v>
      </c>
      <c r="C74" s="31">
        <v>117383.0</v>
      </c>
      <c r="D74" s="31">
        <f t="shared" si="1"/>
        <v>58691.5</v>
      </c>
      <c r="E74" s="31">
        <f t="shared" si="3"/>
        <v>23476.6</v>
      </c>
      <c r="F74" s="8"/>
      <c r="G74" s="26">
        <v>2.95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</row>
    <row r="75">
      <c r="A75" s="16" t="s">
        <v>114</v>
      </c>
      <c r="B75" s="26">
        <v>2100.0</v>
      </c>
      <c r="C75" s="31">
        <v>133577.0</v>
      </c>
      <c r="D75" s="31">
        <f t="shared" si="1"/>
        <v>66788.5</v>
      </c>
      <c r="E75" s="31">
        <f t="shared" si="3"/>
        <v>26715.4</v>
      </c>
      <c r="F75" s="8"/>
      <c r="G75" s="26">
        <v>3.32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</row>
    <row r="76">
      <c r="A76" s="16" t="s">
        <v>115</v>
      </c>
      <c r="B76" s="26">
        <v>300.0</v>
      </c>
      <c r="C76" s="31">
        <v>116365.0</v>
      </c>
      <c r="D76" s="31">
        <f t="shared" si="1"/>
        <v>58182.5</v>
      </c>
      <c r="E76" s="31">
        <f t="shared" si="3"/>
        <v>23273</v>
      </c>
      <c r="F76" s="8"/>
      <c r="G76" s="26">
        <v>2.95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</row>
    <row r="77">
      <c r="A77" s="16" t="s">
        <v>116</v>
      </c>
      <c r="B77" s="26">
        <v>800.0</v>
      </c>
      <c r="C77" s="31">
        <v>100350.0</v>
      </c>
      <c r="D77" s="31">
        <f t="shared" si="1"/>
        <v>50175</v>
      </c>
      <c r="E77" s="31">
        <f t="shared" si="3"/>
        <v>20070</v>
      </c>
      <c r="F77" s="8"/>
      <c r="G77" s="26">
        <v>10.05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</row>
    <row r="78">
      <c r="A78" s="16" t="s">
        <v>117</v>
      </c>
      <c r="B78" s="26">
        <v>1375.0</v>
      </c>
      <c r="C78" s="31">
        <v>119758.0</v>
      </c>
      <c r="D78" s="31">
        <f t="shared" si="1"/>
        <v>59879</v>
      </c>
      <c r="E78" s="31">
        <f t="shared" si="3"/>
        <v>23951.6</v>
      </c>
      <c r="F78" s="8"/>
      <c r="G78" s="26">
        <v>3.1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</row>
    <row r="79">
      <c r="A79" s="16" t="s">
        <v>119</v>
      </c>
      <c r="B79" s="26">
        <v>1500.0</v>
      </c>
      <c r="C79" s="31">
        <v>136629.0</v>
      </c>
      <c r="D79" s="31">
        <f t="shared" si="1"/>
        <v>68314.5</v>
      </c>
      <c r="E79" s="31">
        <f t="shared" si="3"/>
        <v>27325.8</v>
      </c>
      <c r="F79" s="8"/>
      <c r="G79" s="26">
        <v>2.95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</row>
    <row r="80">
      <c r="A80" s="16" t="s">
        <v>120</v>
      </c>
      <c r="B80" s="26">
        <v>28000.0</v>
      </c>
      <c r="C80" s="31">
        <v>60496.0</v>
      </c>
      <c r="D80" s="31">
        <f t="shared" si="1"/>
        <v>30248</v>
      </c>
      <c r="E80" s="31">
        <f t="shared" si="3"/>
        <v>12099.2</v>
      </c>
      <c r="F80" s="8"/>
      <c r="G80" s="26">
        <v>9.22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</row>
    <row r="81">
      <c r="A81" s="16" t="s">
        <v>121</v>
      </c>
      <c r="B81" s="26">
        <v>12000.0</v>
      </c>
      <c r="C81" s="31">
        <v>111704.0</v>
      </c>
      <c r="D81" s="31">
        <f t="shared" si="1"/>
        <v>55852</v>
      </c>
      <c r="E81" s="31">
        <f t="shared" si="3"/>
        <v>22340.8</v>
      </c>
      <c r="F81" s="8"/>
      <c r="G81" s="26">
        <v>3.67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</row>
    <row r="82">
      <c r="A82" s="16" t="s">
        <v>122</v>
      </c>
      <c r="B82" s="26">
        <v>2750.0</v>
      </c>
      <c r="C82" s="31">
        <v>188193.0</v>
      </c>
      <c r="D82" s="31">
        <f t="shared" si="1"/>
        <v>94096.5</v>
      </c>
      <c r="E82" s="31">
        <f t="shared" si="3"/>
        <v>37638.6</v>
      </c>
      <c r="F82" s="8"/>
      <c r="G82" s="26">
        <v>2.94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</row>
    <row r="83">
      <c r="A83" s="16" t="s">
        <v>123</v>
      </c>
      <c r="B83" s="26">
        <v>600.0</v>
      </c>
      <c r="C83" s="31">
        <v>231634.0</v>
      </c>
      <c r="D83" s="31">
        <f t="shared" si="1"/>
        <v>115817</v>
      </c>
      <c r="E83" s="31">
        <f t="shared" si="3"/>
        <v>46326.8</v>
      </c>
      <c r="F83" s="8"/>
      <c r="G83" s="26">
        <v>3.97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</row>
    <row r="84">
      <c r="A84" s="16" t="s">
        <v>124</v>
      </c>
      <c r="B84" s="26">
        <v>400.0</v>
      </c>
      <c r="C84" s="31">
        <v>118532.0</v>
      </c>
      <c r="D84" s="31">
        <f t="shared" si="1"/>
        <v>59266</v>
      </c>
      <c r="E84" s="31">
        <f t="shared" si="3"/>
        <v>23706.4</v>
      </c>
      <c r="F84" s="8"/>
      <c r="G84" s="26">
        <v>3.85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</row>
    <row r="85">
      <c r="A85" s="16" t="s">
        <v>125</v>
      </c>
      <c r="B85" s="26">
        <v>2000.0</v>
      </c>
      <c r="C85" s="31">
        <v>100413.0</v>
      </c>
      <c r="D85" s="31">
        <f t="shared" si="1"/>
        <v>50206.5</v>
      </c>
      <c r="E85" s="31">
        <f t="shared" si="3"/>
        <v>20082.6</v>
      </c>
      <c r="F85" s="8"/>
      <c r="G85" s="26">
        <v>4.42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</row>
    <row r="86">
      <c r="A86" s="16" t="s">
        <v>126</v>
      </c>
      <c r="B86" s="26">
        <v>1200.0</v>
      </c>
      <c r="C86" s="31">
        <v>214666.0</v>
      </c>
      <c r="D86" s="31">
        <f t="shared" si="1"/>
        <v>107333</v>
      </c>
      <c r="E86" s="31">
        <f t="shared" si="3"/>
        <v>42933.2</v>
      </c>
      <c r="F86" s="8"/>
      <c r="G86" s="26">
        <v>4.56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</row>
    <row r="87">
      <c r="A87" s="16" t="s">
        <v>127</v>
      </c>
      <c r="B87" s="26">
        <v>3500.0</v>
      </c>
      <c r="C87" s="31">
        <v>92093.0</v>
      </c>
      <c r="D87" s="31">
        <f t="shared" si="1"/>
        <v>46046.5</v>
      </c>
      <c r="E87" s="31">
        <f t="shared" si="3"/>
        <v>18418.6</v>
      </c>
      <c r="F87" s="8"/>
      <c r="G87" s="26">
        <v>2.95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</row>
    <row r="88">
      <c r="A88" s="16" t="s">
        <v>128</v>
      </c>
      <c r="B88" s="26">
        <v>2400.0</v>
      </c>
      <c r="C88" s="31">
        <v>111112.0</v>
      </c>
      <c r="D88" s="31">
        <f t="shared" si="1"/>
        <v>55556</v>
      </c>
      <c r="E88" s="31">
        <f t="shared" si="3"/>
        <v>22222.4</v>
      </c>
      <c r="F88" s="8"/>
      <c r="G88" s="26">
        <v>2.95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</row>
    <row r="89">
      <c r="A89" s="16" t="s">
        <v>129</v>
      </c>
      <c r="B89" s="26">
        <v>3200.0</v>
      </c>
      <c r="C89" s="31">
        <v>95081.0</v>
      </c>
      <c r="D89" s="31">
        <f t="shared" si="1"/>
        <v>47540.5</v>
      </c>
      <c r="E89" s="31">
        <f t="shared" si="3"/>
        <v>19016.2</v>
      </c>
      <c r="F89" s="8"/>
      <c r="G89" s="26">
        <v>4.23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</row>
    <row r="90">
      <c r="A90" s="16" t="s">
        <v>130</v>
      </c>
      <c r="B90" s="26">
        <v>2000.0</v>
      </c>
      <c r="C90" s="31">
        <v>94045.0</v>
      </c>
      <c r="D90" s="31">
        <f t="shared" si="1"/>
        <v>47022.5</v>
      </c>
      <c r="E90" s="31">
        <f t="shared" si="3"/>
        <v>18809</v>
      </c>
      <c r="F90" s="8"/>
      <c r="G90" s="26">
        <v>3.37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</row>
    <row r="91">
      <c r="A91" s="16" t="s">
        <v>131</v>
      </c>
      <c r="B91" s="26">
        <v>500.0</v>
      </c>
      <c r="C91" s="31">
        <v>166575.0</v>
      </c>
      <c r="D91" s="31">
        <f t="shared" si="1"/>
        <v>83287.5</v>
      </c>
      <c r="E91" s="31">
        <f t="shared" si="3"/>
        <v>33315</v>
      </c>
      <c r="F91" s="8"/>
      <c r="G91" s="26">
        <v>3.6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</row>
    <row r="92">
      <c r="A92" s="16" t="s">
        <v>132</v>
      </c>
      <c r="B92" s="26">
        <v>1400.0</v>
      </c>
      <c r="C92" s="31">
        <v>180344.0</v>
      </c>
      <c r="D92" s="31">
        <f t="shared" si="1"/>
        <v>90172</v>
      </c>
      <c r="E92" s="31">
        <f t="shared" si="3"/>
        <v>36068.8</v>
      </c>
      <c r="F92" s="8"/>
      <c r="G92" s="26">
        <v>3.65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</row>
    <row r="93">
      <c r="A93" s="16" t="s">
        <v>133</v>
      </c>
      <c r="B93" s="26">
        <v>400.0</v>
      </c>
      <c r="C93" s="31">
        <v>112649.0</v>
      </c>
      <c r="D93" s="31">
        <f t="shared" si="1"/>
        <v>56324.5</v>
      </c>
      <c r="E93" s="31">
        <f t="shared" si="3"/>
        <v>22529.8</v>
      </c>
      <c r="F93" s="8"/>
      <c r="G93" s="26">
        <v>2.95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</row>
    <row r="94">
      <c r="A94" s="16" t="s">
        <v>134</v>
      </c>
      <c r="B94" s="26">
        <v>4500.0</v>
      </c>
      <c r="C94" s="31">
        <v>91698.0</v>
      </c>
      <c r="D94" s="31">
        <f t="shared" si="1"/>
        <v>45849</v>
      </c>
      <c r="E94" s="31">
        <f t="shared" si="3"/>
        <v>18339.6</v>
      </c>
      <c r="F94" s="8"/>
      <c r="G94" s="26">
        <v>3.65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</row>
    <row r="95">
      <c r="A95" s="16" t="s">
        <v>135</v>
      </c>
      <c r="B95" s="26">
        <v>1100.0</v>
      </c>
      <c r="C95" s="31">
        <v>89678.0</v>
      </c>
      <c r="D95" s="31">
        <f t="shared" si="1"/>
        <v>44839</v>
      </c>
      <c r="E95" s="31">
        <f t="shared" si="3"/>
        <v>17935.6</v>
      </c>
      <c r="F95" s="8"/>
      <c r="G95" s="26">
        <v>3.4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</row>
    <row r="96">
      <c r="A96" s="16" t="s">
        <v>136</v>
      </c>
      <c r="B96" s="26">
        <v>375.0</v>
      </c>
      <c r="C96" s="31">
        <v>98848.0</v>
      </c>
      <c r="D96" s="31">
        <f t="shared" si="1"/>
        <v>49424</v>
      </c>
      <c r="E96" s="31">
        <f t="shared" si="3"/>
        <v>19769.6</v>
      </c>
      <c r="F96" s="8"/>
      <c r="G96" s="26">
        <v>2.95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</row>
    <row r="97">
      <c r="A97" s="16" t="s">
        <v>137</v>
      </c>
      <c r="B97" s="26">
        <v>700.0</v>
      </c>
      <c r="C97" s="31">
        <v>91466.0</v>
      </c>
      <c r="D97" s="31">
        <f t="shared" si="1"/>
        <v>45733</v>
      </c>
      <c r="E97" s="31">
        <f t="shared" si="3"/>
        <v>18293.2</v>
      </c>
      <c r="F97" s="8"/>
      <c r="G97" s="26">
        <v>2.95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</row>
    <row r="98">
      <c r="A98" s="16" t="s">
        <v>138</v>
      </c>
      <c r="B98" s="26">
        <v>1000.0</v>
      </c>
      <c r="C98" s="31">
        <v>115061.0</v>
      </c>
      <c r="D98" s="31">
        <f t="shared" si="1"/>
        <v>57530.5</v>
      </c>
      <c r="E98" s="31">
        <f t="shared" si="3"/>
        <v>23012.2</v>
      </c>
      <c r="F98" s="8"/>
      <c r="G98" s="26">
        <v>3.14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</row>
    <row r="99">
      <c r="A99" s="16" t="s">
        <v>139</v>
      </c>
      <c r="B99" s="26">
        <v>1250.0</v>
      </c>
      <c r="C99" s="31">
        <v>99561.0</v>
      </c>
      <c r="D99" s="31">
        <f t="shared" si="1"/>
        <v>49780.5</v>
      </c>
      <c r="E99" s="31">
        <f t="shared" si="3"/>
        <v>19912.2</v>
      </c>
      <c r="F99" s="8"/>
      <c r="G99" s="26">
        <v>3.78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</row>
    <row r="100">
      <c r="A100" s="16" t="s">
        <v>140</v>
      </c>
      <c r="B100" s="26">
        <v>6000.0</v>
      </c>
      <c r="C100" s="31">
        <v>202643.0</v>
      </c>
      <c r="D100" s="31">
        <f t="shared" si="1"/>
        <v>101321.5</v>
      </c>
      <c r="E100" s="31">
        <f t="shared" si="3"/>
        <v>40528.6</v>
      </c>
      <c r="F100" s="8"/>
      <c r="G100" s="26">
        <v>3.48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</row>
    <row r="101">
      <c r="A101" s="16" t="s">
        <v>141</v>
      </c>
      <c r="B101" s="26">
        <v>2600.0</v>
      </c>
      <c r="C101" s="31">
        <v>171551.0</v>
      </c>
      <c r="D101" s="31">
        <f t="shared" si="1"/>
        <v>85775.5</v>
      </c>
      <c r="E101" s="31">
        <f t="shared" si="3"/>
        <v>34310.2</v>
      </c>
      <c r="F101" s="8"/>
      <c r="G101" s="26">
        <v>2.95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</row>
    <row r="102">
      <c r="A102" s="16" t="s">
        <v>142</v>
      </c>
      <c r="B102" s="26">
        <v>75.0</v>
      </c>
      <c r="C102" s="31">
        <v>109399.0</v>
      </c>
      <c r="D102" s="31">
        <f t="shared" si="1"/>
        <v>54699.5</v>
      </c>
      <c r="E102" s="31">
        <f t="shared" si="3"/>
        <v>21879.8</v>
      </c>
      <c r="F102" s="8"/>
      <c r="G102" s="26">
        <v>3.2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</row>
    <row r="103">
      <c r="A103" s="16" t="s">
        <v>143</v>
      </c>
      <c r="B103" s="26">
        <v>1250.0</v>
      </c>
      <c r="C103" s="31">
        <v>136503.0</v>
      </c>
      <c r="D103" s="31">
        <f t="shared" si="1"/>
        <v>68251.5</v>
      </c>
      <c r="E103" s="31">
        <f t="shared" si="3"/>
        <v>27300.6</v>
      </c>
      <c r="F103" s="8"/>
      <c r="G103" s="26">
        <v>2.95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</row>
    <row r="104">
      <c r="A104" s="16" t="s">
        <v>144</v>
      </c>
      <c r="B104" s="26">
        <v>1200.0</v>
      </c>
      <c r="C104" s="31">
        <v>87843.0</v>
      </c>
      <c r="D104" s="31">
        <f t="shared" si="1"/>
        <v>43921.5</v>
      </c>
      <c r="E104" s="31">
        <f t="shared" si="3"/>
        <v>17568.6</v>
      </c>
      <c r="F104" s="8"/>
      <c r="G104" s="26">
        <v>2.95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</row>
    <row r="105">
      <c r="A105" s="16" t="s">
        <v>145</v>
      </c>
      <c r="B105" s="26">
        <v>600.0</v>
      </c>
      <c r="C105" s="31">
        <v>107710.0</v>
      </c>
      <c r="D105" s="31">
        <f t="shared" si="1"/>
        <v>53855</v>
      </c>
      <c r="E105" s="31">
        <f t="shared" si="3"/>
        <v>21542</v>
      </c>
      <c r="F105" s="8"/>
      <c r="G105" s="26">
        <v>2.95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</row>
    <row r="106">
      <c r="A106" s="16" t="s">
        <v>146</v>
      </c>
      <c r="B106" s="26">
        <v>600.0</v>
      </c>
      <c r="C106" s="31">
        <v>76497.0</v>
      </c>
      <c r="D106" s="31">
        <f t="shared" si="1"/>
        <v>38248.5</v>
      </c>
      <c r="E106" s="31">
        <f t="shared" si="3"/>
        <v>15299.4</v>
      </c>
      <c r="F106" s="8"/>
      <c r="G106" s="26">
        <v>2.95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</row>
    <row r="107">
      <c r="A107" s="16" t="s">
        <v>148</v>
      </c>
      <c r="B107" s="26">
        <v>3300.0</v>
      </c>
      <c r="C107" s="31">
        <v>104370.0</v>
      </c>
      <c r="D107" s="31">
        <f t="shared" si="1"/>
        <v>52185</v>
      </c>
      <c r="E107" s="31">
        <f t="shared" si="3"/>
        <v>20874</v>
      </c>
      <c r="F107" s="8"/>
      <c r="G107" s="26">
        <v>4.4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</row>
    <row r="108">
      <c r="A108" s="16" t="s">
        <v>149</v>
      </c>
      <c r="B108" s="26">
        <v>10.0</v>
      </c>
      <c r="C108" s="31">
        <v>115465.0</v>
      </c>
      <c r="D108" s="31">
        <f t="shared" si="1"/>
        <v>57732.5</v>
      </c>
      <c r="E108" s="31">
        <f t="shared" si="3"/>
        <v>23093</v>
      </c>
      <c r="F108" s="8"/>
      <c r="G108" s="26">
        <v>2.95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</row>
    <row r="109">
      <c r="A109" s="16" t="s">
        <v>150</v>
      </c>
      <c r="B109" s="26">
        <v>1500.0</v>
      </c>
      <c r="C109" s="31">
        <v>203727.0</v>
      </c>
      <c r="D109" s="31">
        <f t="shared" si="1"/>
        <v>101863.5</v>
      </c>
      <c r="E109" s="31">
        <f t="shared" si="3"/>
        <v>40745.4</v>
      </c>
      <c r="F109" s="8"/>
      <c r="G109" s="26">
        <v>3.25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</row>
    <row r="110">
      <c r="A110" s="16" t="s">
        <v>151</v>
      </c>
      <c r="B110" s="26">
        <v>10000.0</v>
      </c>
      <c r="C110" s="31">
        <v>94067.0</v>
      </c>
      <c r="D110" s="31">
        <f t="shared" si="1"/>
        <v>47033.5</v>
      </c>
      <c r="E110" s="31">
        <f t="shared" si="3"/>
        <v>18813.4</v>
      </c>
      <c r="F110" s="8"/>
      <c r="G110" s="26">
        <v>3.64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</row>
    <row r="111">
      <c r="A111" s="16" t="s">
        <v>152</v>
      </c>
      <c r="B111" s="26">
        <v>8500.0</v>
      </c>
      <c r="C111" s="31">
        <v>91201.0</v>
      </c>
      <c r="D111" s="31">
        <f t="shared" si="1"/>
        <v>45600.5</v>
      </c>
      <c r="E111" s="31">
        <f t="shared" si="3"/>
        <v>18240.2</v>
      </c>
      <c r="F111" s="8"/>
      <c r="G111" s="26">
        <v>4.55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</row>
    <row r="112">
      <c r="A112" s="16" t="s">
        <v>153</v>
      </c>
      <c r="B112" s="26">
        <v>8000.0</v>
      </c>
      <c r="C112" s="31">
        <v>148952.0</v>
      </c>
      <c r="D112" s="31">
        <f t="shared" si="1"/>
        <v>74476</v>
      </c>
      <c r="E112" s="31">
        <f t="shared" si="3"/>
        <v>29790.4</v>
      </c>
      <c r="F112" s="8"/>
      <c r="G112" s="26">
        <v>5.38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</row>
    <row r="113">
      <c r="A113" s="16" t="s">
        <v>154</v>
      </c>
      <c r="B113" s="26">
        <v>50.0</v>
      </c>
      <c r="C113" s="31">
        <v>133511.0</v>
      </c>
      <c r="D113" s="31">
        <f t="shared" si="1"/>
        <v>66755.5</v>
      </c>
      <c r="E113" s="31">
        <f t="shared" si="3"/>
        <v>26702.2</v>
      </c>
      <c r="F113" s="8"/>
      <c r="G113" s="26">
        <v>2.94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</row>
    <row r="114">
      <c r="A114" s="16" t="s">
        <v>155</v>
      </c>
      <c r="B114" s="26">
        <v>750.0</v>
      </c>
      <c r="C114" s="31">
        <v>210959.0</v>
      </c>
      <c r="D114" s="31">
        <f t="shared" si="1"/>
        <v>105479.5</v>
      </c>
      <c r="E114" s="31">
        <f t="shared" si="3"/>
        <v>42191.8</v>
      </c>
      <c r="F114" s="8"/>
      <c r="G114" s="26">
        <v>2.94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</row>
    <row r="115">
      <c r="A115" s="16" t="s">
        <v>156</v>
      </c>
      <c r="B115" s="26">
        <v>6000.0</v>
      </c>
      <c r="C115" s="31">
        <v>154406.0</v>
      </c>
      <c r="D115" s="31">
        <f t="shared" si="1"/>
        <v>77203</v>
      </c>
      <c r="E115" s="31">
        <f t="shared" si="3"/>
        <v>30881.2</v>
      </c>
      <c r="F115" s="8"/>
      <c r="G115" s="26">
        <v>3.92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</row>
    <row r="116">
      <c r="A116" s="16" t="s">
        <v>157</v>
      </c>
      <c r="B116" s="26">
        <v>4800.0</v>
      </c>
      <c r="C116" s="31">
        <v>103740.0</v>
      </c>
      <c r="D116" s="31">
        <f t="shared" si="1"/>
        <v>51870</v>
      </c>
      <c r="E116" s="31">
        <f t="shared" si="3"/>
        <v>20748</v>
      </c>
      <c r="F116" s="8"/>
      <c r="G116" s="26">
        <v>2.95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</row>
    <row r="117">
      <c r="A117" s="16" t="s">
        <v>158</v>
      </c>
      <c r="B117" s="26">
        <v>3399.0</v>
      </c>
      <c r="C117" s="31">
        <v>111198.0</v>
      </c>
      <c r="D117" s="31">
        <f t="shared" si="1"/>
        <v>55599</v>
      </c>
      <c r="E117" s="31">
        <f t="shared" si="3"/>
        <v>22239.6</v>
      </c>
      <c r="F117" s="8"/>
      <c r="G117" s="26">
        <v>3.11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</row>
    <row r="118">
      <c r="A118" s="16" t="s">
        <v>159</v>
      </c>
      <c r="B118" s="26">
        <v>3750.0</v>
      </c>
      <c r="C118" s="31">
        <v>94355.0</v>
      </c>
      <c r="D118" s="31">
        <f t="shared" si="1"/>
        <v>47177.5</v>
      </c>
      <c r="E118" s="31">
        <f t="shared" si="3"/>
        <v>18871</v>
      </c>
      <c r="F118" s="8"/>
      <c r="G118" s="26">
        <v>2.97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</row>
    <row r="119">
      <c r="A119" s="16" t="s">
        <v>160</v>
      </c>
      <c r="B119" s="26">
        <v>25.0</v>
      </c>
      <c r="C119" s="31">
        <v>128036.0</v>
      </c>
      <c r="D119" s="31">
        <f t="shared" si="1"/>
        <v>64018</v>
      </c>
      <c r="E119" s="31">
        <f t="shared" si="3"/>
        <v>25607.2</v>
      </c>
      <c r="F119" s="8"/>
      <c r="G119" s="26">
        <v>3.45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</row>
    <row r="120">
      <c r="A120" s="16" t="s">
        <v>161</v>
      </c>
      <c r="B120" s="26">
        <v>302.0</v>
      </c>
      <c r="C120" s="31">
        <v>150589.0</v>
      </c>
      <c r="D120" s="31">
        <f t="shared" si="1"/>
        <v>75294.5</v>
      </c>
      <c r="E120" s="31">
        <f t="shared" si="3"/>
        <v>30117.8</v>
      </c>
      <c r="F120" s="8"/>
      <c r="G120" s="26">
        <v>5.0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</row>
    <row r="121">
      <c r="A121" s="16" t="s">
        <v>162</v>
      </c>
      <c r="B121" s="26">
        <v>3000.0</v>
      </c>
      <c r="C121" s="31">
        <v>152846.0</v>
      </c>
      <c r="D121" s="31">
        <f t="shared" si="1"/>
        <v>76423</v>
      </c>
      <c r="E121" s="31">
        <f t="shared" si="3"/>
        <v>30569.2</v>
      </c>
      <c r="F121" s="8"/>
      <c r="G121" s="26">
        <v>2.95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</row>
    <row r="122">
      <c r="A122" s="16" t="s">
        <v>163</v>
      </c>
      <c r="B122" s="26">
        <v>6200.0</v>
      </c>
      <c r="C122" s="31">
        <v>117863.0</v>
      </c>
      <c r="D122" s="31">
        <f t="shared" si="1"/>
        <v>58931.5</v>
      </c>
      <c r="E122" s="31">
        <f t="shared" si="3"/>
        <v>23572.6</v>
      </c>
      <c r="F122" s="8"/>
      <c r="G122" s="26">
        <v>2.95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</row>
    <row r="123">
      <c r="A123" s="16" t="s">
        <v>164</v>
      </c>
      <c r="B123" s="26">
        <v>500.0</v>
      </c>
      <c r="C123" s="31">
        <v>121612.0</v>
      </c>
      <c r="D123" s="31">
        <f t="shared" si="1"/>
        <v>60806</v>
      </c>
      <c r="E123" s="31">
        <f t="shared" si="3"/>
        <v>24322.4</v>
      </c>
      <c r="F123" s="8"/>
      <c r="G123" s="26">
        <v>2.96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</row>
    <row r="124">
      <c r="A124" s="16" t="s">
        <v>165</v>
      </c>
      <c r="B124" s="26">
        <v>7000.0</v>
      </c>
      <c r="C124" s="31">
        <v>86520.0</v>
      </c>
      <c r="D124" s="31">
        <f t="shared" si="1"/>
        <v>43260</v>
      </c>
      <c r="E124" s="31">
        <f t="shared" si="3"/>
        <v>17304</v>
      </c>
      <c r="F124" s="8"/>
      <c r="G124" s="26">
        <v>3.17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</row>
    <row r="125">
      <c r="A125" s="16" t="s">
        <v>166</v>
      </c>
      <c r="B125" s="26">
        <v>4000.0</v>
      </c>
      <c r="C125" s="31">
        <v>142588.0</v>
      </c>
      <c r="D125" s="31">
        <f t="shared" si="1"/>
        <v>71294</v>
      </c>
      <c r="E125" s="31">
        <f t="shared" si="3"/>
        <v>28517.6</v>
      </c>
      <c r="F125" s="8"/>
      <c r="G125" s="26">
        <v>2.95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</row>
    <row r="126">
      <c r="A126" s="16" t="s">
        <v>167</v>
      </c>
      <c r="B126" s="26">
        <v>400.0</v>
      </c>
      <c r="C126" s="31">
        <v>128490.0</v>
      </c>
      <c r="D126" s="31">
        <f t="shared" si="1"/>
        <v>64245</v>
      </c>
      <c r="E126" s="31">
        <f t="shared" si="3"/>
        <v>25698</v>
      </c>
      <c r="F126" s="8"/>
      <c r="G126" s="26">
        <v>2.95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</row>
    <row r="127">
      <c r="A127" s="16" t="s">
        <v>168</v>
      </c>
      <c r="B127" s="26">
        <v>800.0</v>
      </c>
      <c r="C127" s="31">
        <v>110240.0</v>
      </c>
      <c r="D127" s="31">
        <f t="shared" si="1"/>
        <v>55120</v>
      </c>
      <c r="E127" s="31">
        <f t="shared" si="3"/>
        <v>22048</v>
      </c>
      <c r="F127" s="8"/>
      <c r="G127" s="26">
        <v>2.95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</row>
    <row r="128">
      <c r="A128" s="16" t="s">
        <v>169</v>
      </c>
      <c r="B128" s="26">
        <v>1200.0</v>
      </c>
      <c r="C128" s="31">
        <v>120712.0</v>
      </c>
      <c r="D128" s="31">
        <f t="shared" si="1"/>
        <v>60356</v>
      </c>
      <c r="E128" s="31">
        <f t="shared" si="3"/>
        <v>24142.4</v>
      </c>
      <c r="F128" s="8"/>
      <c r="G128" s="26">
        <v>5.8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</row>
    <row r="129">
      <c r="A129" s="16" t="s">
        <v>170</v>
      </c>
      <c r="B129" s="26">
        <v>6000.0</v>
      </c>
      <c r="C129" s="31">
        <v>147626.0</v>
      </c>
      <c r="D129" s="31">
        <f t="shared" si="1"/>
        <v>73813</v>
      </c>
      <c r="E129" s="31">
        <f t="shared" si="3"/>
        <v>29525.2</v>
      </c>
      <c r="F129" s="8"/>
      <c r="G129" s="26">
        <v>3.01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</row>
    <row r="130">
      <c r="A130" s="16" t="s">
        <v>171</v>
      </c>
      <c r="B130" s="26">
        <v>500.0</v>
      </c>
      <c r="C130" s="31">
        <v>132060.0</v>
      </c>
      <c r="D130" s="31">
        <f t="shared" si="1"/>
        <v>66030</v>
      </c>
      <c r="E130" s="31">
        <f t="shared" si="3"/>
        <v>26412</v>
      </c>
      <c r="F130" s="8"/>
      <c r="G130" s="26">
        <v>2.95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</row>
    <row r="131">
      <c r="A131" s="16" t="s">
        <v>172</v>
      </c>
      <c r="B131" s="26">
        <v>12000.0</v>
      </c>
      <c r="C131" s="31">
        <v>102535.0</v>
      </c>
      <c r="D131" s="31">
        <f t="shared" si="1"/>
        <v>51267.5</v>
      </c>
      <c r="E131" s="31">
        <f t="shared" si="3"/>
        <v>20507</v>
      </c>
      <c r="F131" s="8"/>
      <c r="G131" s="26">
        <v>3.84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</row>
    <row r="132">
      <c r="A132" s="16" t="s">
        <v>173</v>
      </c>
      <c r="B132" s="26">
        <v>3000.0</v>
      </c>
      <c r="C132" s="31">
        <v>200401.0</v>
      </c>
      <c r="D132" s="31">
        <f t="shared" si="1"/>
        <v>100200.5</v>
      </c>
      <c r="E132" s="31">
        <f t="shared" si="3"/>
        <v>40080.2</v>
      </c>
      <c r="F132" s="8"/>
      <c r="G132" s="26">
        <v>3.81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</row>
    <row r="133">
      <c r="A133" s="16" t="s">
        <v>174</v>
      </c>
      <c r="B133" s="26">
        <v>50.0</v>
      </c>
      <c r="C133" s="31">
        <v>180095.0</v>
      </c>
      <c r="D133" s="31">
        <f t="shared" si="1"/>
        <v>90047.5</v>
      </c>
      <c r="E133" s="31">
        <f t="shared" si="3"/>
        <v>36019</v>
      </c>
      <c r="F133" s="8"/>
      <c r="G133" s="26">
        <v>2.94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</row>
    <row r="134">
      <c r="A134" s="16" t="s">
        <v>175</v>
      </c>
      <c r="B134" s="26">
        <v>550.0</v>
      </c>
      <c r="C134" s="31">
        <v>162044.0</v>
      </c>
      <c r="D134" s="31">
        <f t="shared" si="1"/>
        <v>81022</v>
      </c>
      <c r="E134" s="31">
        <f t="shared" si="3"/>
        <v>32408.8</v>
      </c>
      <c r="F134" s="8"/>
      <c r="G134" s="26">
        <v>2.94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</row>
    <row r="135">
      <c r="A135" s="16" t="s">
        <v>176</v>
      </c>
      <c r="B135" s="26">
        <v>250.0</v>
      </c>
      <c r="C135" s="31">
        <v>124613.0</v>
      </c>
      <c r="D135" s="31">
        <f t="shared" si="1"/>
        <v>62306.5</v>
      </c>
      <c r="E135" s="31">
        <f t="shared" si="3"/>
        <v>24922.6</v>
      </c>
      <c r="F135" s="8"/>
      <c r="G135" s="26">
        <v>2.98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</row>
    <row r="136">
      <c r="A136" s="16" t="s">
        <v>177</v>
      </c>
      <c r="B136" s="26">
        <v>600.0</v>
      </c>
      <c r="C136" s="31">
        <v>146208.0</v>
      </c>
      <c r="D136" s="31">
        <f t="shared" si="1"/>
        <v>73104</v>
      </c>
      <c r="E136" s="31">
        <f t="shared" si="3"/>
        <v>29241.6</v>
      </c>
      <c r="F136" s="8"/>
      <c r="G136" s="26">
        <v>3.57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</row>
    <row r="137">
      <c r="A137" s="16" t="s">
        <v>178</v>
      </c>
      <c r="B137" s="26">
        <v>1200.0</v>
      </c>
      <c r="C137" s="31">
        <v>105494.0</v>
      </c>
      <c r="D137" s="31">
        <f t="shared" si="1"/>
        <v>52747</v>
      </c>
      <c r="E137" s="31">
        <f t="shared" si="3"/>
        <v>21098.8</v>
      </c>
      <c r="F137" s="8"/>
      <c r="G137" s="26">
        <v>3.77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</row>
    <row r="138">
      <c r="A138" s="16" t="s">
        <v>179</v>
      </c>
      <c r="B138" s="26">
        <v>1100.0</v>
      </c>
      <c r="C138" s="31">
        <v>84579.0</v>
      </c>
      <c r="D138" s="31">
        <f t="shared" si="1"/>
        <v>42289.5</v>
      </c>
      <c r="E138" s="31">
        <f t="shared" si="3"/>
        <v>16915.8</v>
      </c>
      <c r="F138" s="8"/>
      <c r="G138" s="26">
        <v>2.95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</row>
    <row r="139">
      <c r="A139" s="16" t="s">
        <v>180</v>
      </c>
      <c r="B139" s="26">
        <v>1000.0</v>
      </c>
      <c r="C139" s="31">
        <v>101283.0</v>
      </c>
      <c r="D139" s="31">
        <f t="shared" si="1"/>
        <v>50641.5</v>
      </c>
      <c r="E139" s="31">
        <f t="shared" si="3"/>
        <v>20256.6</v>
      </c>
      <c r="F139" s="8"/>
      <c r="G139" s="26">
        <v>3.25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</row>
    <row r="140">
      <c r="A140" s="16" t="s">
        <v>181</v>
      </c>
      <c r="B140" s="26">
        <v>900.0</v>
      </c>
      <c r="C140" s="31">
        <v>98271.0</v>
      </c>
      <c r="D140" s="31">
        <f t="shared" si="1"/>
        <v>49135.5</v>
      </c>
      <c r="E140" s="31">
        <f t="shared" si="3"/>
        <v>19654.2</v>
      </c>
      <c r="F140" s="8"/>
      <c r="G140" s="26">
        <v>2.93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</row>
    <row r="141">
      <c r="A141" s="16" t="s">
        <v>182</v>
      </c>
      <c r="B141" s="26">
        <v>600.0</v>
      </c>
      <c r="C141" s="31">
        <v>104080.0</v>
      </c>
      <c r="D141" s="31">
        <f t="shared" si="1"/>
        <v>52040</v>
      </c>
      <c r="E141" s="31">
        <f t="shared" si="3"/>
        <v>20816</v>
      </c>
      <c r="F141" s="8"/>
      <c r="G141" s="26">
        <v>3.48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</row>
    <row r="142">
      <c r="A142" s="16" t="s">
        <v>183</v>
      </c>
      <c r="B142" s="26">
        <v>2700.0</v>
      </c>
      <c r="C142" s="31">
        <v>140869.0</v>
      </c>
      <c r="D142" s="31">
        <f t="shared" si="1"/>
        <v>70434.5</v>
      </c>
      <c r="E142" s="31">
        <f t="shared" si="3"/>
        <v>28173.8</v>
      </c>
      <c r="F142" s="8"/>
      <c r="G142" s="26">
        <v>2.92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</row>
    <row r="143">
      <c r="A143" s="16" t="s">
        <v>184</v>
      </c>
      <c r="B143" s="26">
        <v>3000.0</v>
      </c>
      <c r="C143" s="31">
        <v>201659.0</v>
      </c>
      <c r="D143" s="31">
        <f t="shared" si="1"/>
        <v>100829.5</v>
      </c>
      <c r="E143" s="31">
        <f t="shared" si="3"/>
        <v>40331.8</v>
      </c>
      <c r="F143" s="8"/>
      <c r="G143" s="26">
        <v>6.65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</row>
    <row r="144">
      <c r="A144" s="16" t="s">
        <v>185</v>
      </c>
      <c r="B144" s="26">
        <v>6000.0</v>
      </c>
      <c r="C144" s="31">
        <v>189126.0</v>
      </c>
      <c r="D144" s="31">
        <f t="shared" si="1"/>
        <v>94563</v>
      </c>
      <c r="E144" s="31">
        <f t="shared" si="3"/>
        <v>37825.2</v>
      </c>
      <c r="F144" s="8"/>
      <c r="G144" s="26">
        <v>6.73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</row>
    <row r="145">
      <c r="A145" s="16" t="s">
        <v>186</v>
      </c>
      <c r="B145" s="26">
        <v>9000.0</v>
      </c>
      <c r="C145" s="31">
        <v>100509.0</v>
      </c>
      <c r="D145" s="31">
        <f t="shared" si="1"/>
        <v>50254.5</v>
      </c>
      <c r="E145" s="31">
        <f t="shared" si="3"/>
        <v>20101.8</v>
      </c>
      <c r="F145" s="8"/>
      <c r="G145" s="26">
        <v>3.2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</row>
    <row r="146">
      <c r="A146" s="16" t="s">
        <v>187</v>
      </c>
      <c r="B146" s="26">
        <v>1061.0</v>
      </c>
      <c r="C146" s="31">
        <v>86155.0</v>
      </c>
      <c r="D146" s="31">
        <f t="shared" si="1"/>
        <v>43077.5</v>
      </c>
      <c r="E146" s="31">
        <f t="shared" si="3"/>
        <v>17231</v>
      </c>
      <c r="F146" s="8"/>
      <c r="G146" s="26">
        <v>3.53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</row>
    <row r="147">
      <c r="A147" s="16" t="s">
        <v>188</v>
      </c>
      <c r="B147" s="26">
        <v>250.0</v>
      </c>
      <c r="C147" s="31">
        <v>100814.0</v>
      </c>
      <c r="D147" s="31">
        <f t="shared" si="1"/>
        <v>50407</v>
      </c>
      <c r="E147" s="31">
        <f t="shared" si="3"/>
        <v>20162.8</v>
      </c>
      <c r="F147" s="8"/>
      <c r="G147" s="26">
        <v>2.95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</row>
    <row r="148">
      <c r="A148" s="16" t="s">
        <v>189</v>
      </c>
      <c r="B148" s="26">
        <v>1200.0</v>
      </c>
      <c r="C148" s="31">
        <v>161286.0</v>
      </c>
      <c r="D148" s="31">
        <f t="shared" si="1"/>
        <v>80643</v>
      </c>
      <c r="E148" s="31">
        <f t="shared" si="3"/>
        <v>32257.2</v>
      </c>
      <c r="F148" s="8"/>
      <c r="G148" s="26">
        <v>2.95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</row>
    <row r="149">
      <c r="A149" s="16" t="s">
        <v>190</v>
      </c>
      <c r="B149" s="26">
        <v>750.0</v>
      </c>
      <c r="C149" s="31">
        <v>175880.0</v>
      </c>
      <c r="D149" s="31">
        <f t="shared" si="1"/>
        <v>87940</v>
      </c>
      <c r="E149" s="31">
        <f t="shared" si="3"/>
        <v>35176</v>
      </c>
      <c r="F149" s="8"/>
      <c r="G149" s="26">
        <v>2.94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</row>
    <row r="150">
      <c r="A150" s="16" t="s">
        <v>191</v>
      </c>
      <c r="B150" s="26">
        <v>500.0</v>
      </c>
      <c r="C150" s="31">
        <v>156889.0</v>
      </c>
      <c r="D150" s="31">
        <f t="shared" si="1"/>
        <v>78444.5</v>
      </c>
      <c r="E150" s="31">
        <f t="shared" si="3"/>
        <v>31377.8</v>
      </c>
      <c r="F150" s="8"/>
      <c r="G150" s="26">
        <v>2.96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</row>
    <row r="151">
      <c r="A151" s="16" t="s">
        <v>192</v>
      </c>
      <c r="B151" s="26">
        <v>3000.0</v>
      </c>
      <c r="C151" s="31">
        <v>149596.0</v>
      </c>
      <c r="D151" s="31">
        <f t="shared" si="1"/>
        <v>74798</v>
      </c>
      <c r="E151" s="31">
        <f t="shared" si="3"/>
        <v>29919.2</v>
      </c>
      <c r="F151" s="8"/>
      <c r="G151" s="26">
        <v>2.94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</row>
    <row r="152">
      <c r="A152" s="16" t="s">
        <v>193</v>
      </c>
      <c r="B152" s="26">
        <v>1100.0</v>
      </c>
      <c r="C152" s="31">
        <v>120238.0</v>
      </c>
      <c r="D152" s="31">
        <f t="shared" si="1"/>
        <v>60119</v>
      </c>
      <c r="E152" s="31">
        <f t="shared" si="3"/>
        <v>24047.6</v>
      </c>
      <c r="F152" s="8"/>
      <c r="G152" s="26">
        <v>3.64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</row>
    <row r="153">
      <c r="A153" s="16" t="s">
        <v>194</v>
      </c>
      <c r="B153" s="26">
        <v>700.0</v>
      </c>
      <c r="C153" s="31">
        <v>157864.0</v>
      </c>
      <c r="D153" s="31">
        <f t="shared" si="1"/>
        <v>78932</v>
      </c>
      <c r="E153" s="31">
        <f t="shared" si="3"/>
        <v>31572.8</v>
      </c>
      <c r="F153" s="8"/>
      <c r="G153" s="26">
        <v>2.95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</row>
    <row r="154">
      <c r="A154" s="16" t="s">
        <v>195</v>
      </c>
      <c r="B154" s="26">
        <v>1600.0</v>
      </c>
      <c r="C154" s="31">
        <v>109341.0</v>
      </c>
      <c r="D154" s="31">
        <f t="shared" si="1"/>
        <v>54670.5</v>
      </c>
      <c r="E154" s="31">
        <f t="shared" si="3"/>
        <v>21868.2</v>
      </c>
      <c r="F154" s="8"/>
      <c r="G154" s="26">
        <v>4.11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</row>
    <row r="155">
      <c r="A155" s="16" t="s">
        <v>196</v>
      </c>
      <c r="B155" s="26">
        <v>200.0</v>
      </c>
      <c r="C155" s="31">
        <v>147986.0</v>
      </c>
      <c r="D155" s="31">
        <f t="shared" si="1"/>
        <v>73993</v>
      </c>
      <c r="E155" s="31">
        <f t="shared" si="3"/>
        <v>29597.2</v>
      </c>
      <c r="F155" s="8"/>
      <c r="G155" s="26">
        <v>3.02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</row>
    <row r="156">
      <c r="A156" s="16" t="s">
        <v>197</v>
      </c>
      <c r="B156" s="26">
        <v>7000.0</v>
      </c>
      <c r="C156" s="31">
        <v>89455.0</v>
      </c>
      <c r="D156" s="31">
        <f t="shared" si="1"/>
        <v>44727.5</v>
      </c>
      <c r="E156" s="31">
        <f t="shared" si="3"/>
        <v>17891</v>
      </c>
      <c r="F156" s="8"/>
      <c r="G156" s="26">
        <v>3.61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</row>
    <row r="157">
      <c r="A157" s="16" t="s">
        <v>198</v>
      </c>
      <c r="B157" s="26">
        <v>900.0</v>
      </c>
      <c r="C157" s="31">
        <v>94066.0</v>
      </c>
      <c r="D157" s="31">
        <f t="shared" si="1"/>
        <v>47033</v>
      </c>
      <c r="E157" s="31">
        <f t="shared" si="3"/>
        <v>18813.2</v>
      </c>
      <c r="F157" s="8"/>
      <c r="G157" s="26">
        <v>2.95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</row>
    <row r="158">
      <c r="A158" s="16" t="s">
        <v>199</v>
      </c>
      <c r="B158" s="26">
        <v>3000.0</v>
      </c>
      <c r="C158" s="31">
        <v>93375.0</v>
      </c>
      <c r="D158" s="31">
        <f t="shared" si="1"/>
        <v>46687.5</v>
      </c>
      <c r="E158" s="31">
        <f t="shared" si="3"/>
        <v>18675</v>
      </c>
      <c r="F158" s="8"/>
      <c r="G158" s="26">
        <v>3.48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</row>
    <row r="159">
      <c r="A159" s="16" t="s">
        <v>200</v>
      </c>
      <c r="B159" s="26">
        <v>1000.0</v>
      </c>
      <c r="C159" s="31">
        <v>126990.0</v>
      </c>
      <c r="D159" s="31">
        <f t="shared" si="1"/>
        <v>63495</v>
      </c>
      <c r="E159" s="31">
        <f t="shared" si="3"/>
        <v>25398</v>
      </c>
      <c r="F159" s="8"/>
      <c r="G159" s="26">
        <v>2.94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</row>
    <row r="160">
      <c r="A160" s="16" t="s">
        <v>201</v>
      </c>
      <c r="B160" s="26">
        <v>3200.0</v>
      </c>
      <c r="C160" s="31">
        <v>145285.0</v>
      </c>
      <c r="D160" s="31">
        <f t="shared" si="1"/>
        <v>72642.5</v>
      </c>
      <c r="E160" s="31">
        <f t="shared" si="3"/>
        <v>29057</v>
      </c>
      <c r="F160" s="8"/>
      <c r="G160" s="26">
        <v>2.94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</row>
    <row r="161">
      <c r="A161" s="16" t="s">
        <v>202</v>
      </c>
      <c r="B161" s="26">
        <v>2200.0</v>
      </c>
      <c r="C161" s="31">
        <v>74833.0</v>
      </c>
      <c r="D161" s="31">
        <f t="shared" si="1"/>
        <v>37416.5</v>
      </c>
      <c r="E161" s="31">
        <f t="shared" si="3"/>
        <v>14966.6</v>
      </c>
      <c r="F161" s="8"/>
      <c r="G161" s="26">
        <v>10.13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</row>
    <row r="162">
      <c r="A162" s="16" t="s">
        <v>203</v>
      </c>
      <c r="B162" s="26">
        <v>1300.0</v>
      </c>
      <c r="C162" s="31">
        <v>107383.0</v>
      </c>
      <c r="D162" s="31">
        <f t="shared" si="1"/>
        <v>53691.5</v>
      </c>
      <c r="E162" s="31">
        <f t="shared" si="3"/>
        <v>21476.6</v>
      </c>
      <c r="F162" s="8"/>
      <c r="G162" s="26">
        <v>5.91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</row>
    <row r="163">
      <c r="A163" s="16"/>
      <c r="B163" s="26"/>
      <c r="C163" s="26"/>
      <c r="D163" s="26"/>
      <c r="E163" s="31"/>
      <c r="F163" s="8"/>
      <c r="G163" s="26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</row>
    <row r="164">
      <c r="D164" s="44"/>
      <c r="E164" s="44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</row>
    <row r="165">
      <c r="A165" s="16" t="s">
        <v>548</v>
      </c>
      <c r="B165" s="26">
        <v>50.0</v>
      </c>
      <c r="C165" s="26">
        <v>87890.0</v>
      </c>
      <c r="D165" s="26">
        <f>C165/2</f>
        <v>43945</v>
      </c>
      <c r="E165" s="45" t="s">
        <v>549</v>
      </c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</row>
    <row r="166">
      <c r="A166" s="16"/>
      <c r="B166" s="26"/>
      <c r="C166" s="26"/>
      <c r="D166" s="26"/>
      <c r="E166" s="45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</row>
    <row r="167">
      <c r="A167" s="16"/>
      <c r="B167" s="26"/>
      <c r="C167" s="26"/>
      <c r="D167" s="31"/>
      <c r="E167" s="45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</row>
    <row r="168">
      <c r="A168" s="16"/>
      <c r="B168" s="26"/>
      <c r="C168" s="26"/>
      <c r="D168" s="31"/>
      <c r="E168" s="45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</row>
    <row r="169">
      <c r="A169" s="16"/>
      <c r="B169" s="26"/>
      <c r="C169" s="26"/>
      <c r="D169" s="31"/>
      <c r="E169" s="45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</row>
    <row r="170">
      <c r="C170" s="26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</row>
    <row r="171">
      <c r="A171" s="46"/>
      <c r="B171" s="46"/>
      <c r="C171" s="47"/>
      <c r="D171" s="46"/>
      <c r="E171" s="46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</row>
    <row r="172">
      <c r="A172" s="46"/>
      <c r="B172" s="46"/>
      <c r="C172" s="47"/>
      <c r="D172" s="46"/>
      <c r="E172" s="46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</row>
    <row r="173">
      <c r="A173" s="46"/>
      <c r="B173" s="46"/>
      <c r="C173" s="47"/>
      <c r="D173" s="46"/>
      <c r="E173" s="46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</row>
    <row r="174">
      <c r="A174" s="46"/>
      <c r="B174" s="46"/>
      <c r="C174" s="47"/>
      <c r="D174" s="46"/>
      <c r="E174" s="46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</row>
    <row r="175">
      <c r="A175" s="46"/>
      <c r="B175" s="46"/>
      <c r="C175" s="47"/>
      <c r="D175" s="46"/>
      <c r="E175" s="46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</row>
    <row r="176">
      <c r="A176" s="46"/>
      <c r="B176" s="46"/>
      <c r="C176" s="47"/>
      <c r="D176" s="46"/>
      <c r="E176" s="46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</row>
    <row r="177">
      <c r="A177" s="46"/>
      <c r="B177" s="46"/>
      <c r="C177" s="47"/>
      <c r="D177" s="46"/>
      <c r="E177" s="46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</row>
    <row r="178">
      <c r="A178" s="46"/>
      <c r="B178" s="46"/>
      <c r="C178" s="47"/>
      <c r="D178" s="46"/>
      <c r="E178" s="46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</row>
    <row r="179">
      <c r="A179" s="46"/>
      <c r="B179" s="46"/>
      <c r="C179" s="47"/>
      <c r="D179" s="46"/>
      <c r="E179" s="46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</row>
    <row r="180">
      <c r="A180" s="46"/>
      <c r="B180" s="46"/>
      <c r="C180" s="47"/>
      <c r="D180" s="46"/>
      <c r="E180" s="46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</row>
    <row r="181">
      <c r="A181" s="46"/>
      <c r="B181" s="46"/>
      <c r="C181" s="47"/>
      <c r="D181" s="46"/>
      <c r="E181" s="46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</row>
    <row r="182">
      <c r="A182" s="46"/>
      <c r="B182" s="46"/>
      <c r="C182" s="47"/>
      <c r="D182" s="46"/>
      <c r="E182" s="46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</row>
    <row r="183">
      <c r="A183" s="46"/>
      <c r="B183" s="46"/>
      <c r="C183" s="47"/>
      <c r="D183" s="46"/>
      <c r="E183" s="46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</row>
    <row r="184">
      <c r="A184" s="46"/>
      <c r="B184" s="46"/>
      <c r="C184" s="47"/>
      <c r="D184" s="46"/>
      <c r="E184" s="46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</row>
    <row r="185">
      <c r="A185" s="46"/>
      <c r="B185" s="46"/>
      <c r="C185" s="47"/>
      <c r="D185" s="46"/>
      <c r="E185" s="46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</row>
    <row r="186">
      <c r="A186" s="46"/>
      <c r="B186" s="46"/>
      <c r="C186" s="47"/>
      <c r="D186" s="46"/>
      <c r="E186" s="46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</row>
    <row r="187">
      <c r="D187" s="46"/>
      <c r="E187" s="46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</row>
    <row r="188">
      <c r="D188" s="46"/>
      <c r="E188" s="46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</row>
    <row r="189">
      <c r="D189" s="46"/>
      <c r="E189" s="46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</row>
    <row r="190">
      <c r="D190" s="46"/>
      <c r="E190" s="46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</row>
    <row r="191">
      <c r="D191" s="46"/>
      <c r="E191" s="46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</row>
    <row r="192">
      <c r="D192" s="46"/>
      <c r="E192" s="46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</row>
    <row r="193">
      <c r="D193" s="46"/>
      <c r="E193" s="46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</row>
    <row r="194">
      <c r="D194" s="46"/>
      <c r="E194" s="46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</row>
    <row r="195">
      <c r="D195" s="46"/>
      <c r="E195" s="46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</row>
    <row r="196">
      <c r="A196" s="46"/>
      <c r="B196" s="46"/>
      <c r="C196" s="47"/>
      <c r="D196" s="46"/>
      <c r="E196" s="46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</row>
    <row r="197">
      <c r="A197" s="46"/>
      <c r="B197" s="46"/>
      <c r="C197" s="47"/>
      <c r="D197" s="46"/>
      <c r="E197" s="46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</row>
    <row r="198">
      <c r="A198" s="46"/>
      <c r="B198" s="46"/>
      <c r="C198" s="47"/>
      <c r="D198" s="46"/>
      <c r="E198" s="46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</row>
    <row r="199">
      <c r="A199" s="46"/>
      <c r="B199" s="46"/>
      <c r="C199" s="47"/>
      <c r="D199" s="46"/>
      <c r="E199" s="46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</row>
    <row r="200">
      <c r="A200" s="46"/>
      <c r="B200" s="46"/>
      <c r="C200" s="47"/>
      <c r="D200" s="46"/>
      <c r="E200" s="46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</row>
    <row r="201">
      <c r="A201" s="46"/>
      <c r="B201" s="46"/>
      <c r="C201" s="47"/>
      <c r="D201" s="46"/>
      <c r="E201" s="46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</row>
    <row r="202">
      <c r="A202" s="46"/>
      <c r="B202" s="46"/>
      <c r="C202" s="47"/>
      <c r="D202" s="46"/>
      <c r="E202" s="46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</row>
    <row r="203">
      <c r="A203" s="46"/>
      <c r="B203" s="46"/>
      <c r="C203" s="47"/>
      <c r="D203" s="46"/>
      <c r="E203" s="46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</row>
    <row r="204">
      <c r="A204" s="46"/>
      <c r="B204" s="46"/>
      <c r="C204" s="47"/>
      <c r="D204" s="46"/>
      <c r="E204" s="46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</row>
    <row r="205">
      <c r="A205" s="46"/>
      <c r="B205" s="46"/>
      <c r="C205" s="47"/>
      <c r="D205" s="46"/>
      <c r="E205" s="46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</row>
    <row r="206">
      <c r="A206" s="46"/>
      <c r="B206" s="46"/>
      <c r="C206" s="47"/>
      <c r="D206" s="46"/>
      <c r="E206" s="46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</row>
    <row r="207">
      <c r="A207" s="46"/>
      <c r="B207" s="46"/>
      <c r="C207" s="47"/>
      <c r="D207" s="46"/>
      <c r="E207" s="46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</row>
    <row r="208">
      <c r="A208" s="46"/>
      <c r="B208" s="46"/>
      <c r="C208" s="47"/>
      <c r="D208" s="46"/>
      <c r="E208" s="46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</row>
    <row r="209">
      <c r="A209" s="46"/>
      <c r="B209" s="46"/>
      <c r="C209" s="47"/>
      <c r="D209" s="46"/>
      <c r="E209" s="46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</row>
    <row r="210">
      <c r="A210" s="46"/>
      <c r="B210" s="46"/>
      <c r="C210" s="47"/>
      <c r="D210" s="46"/>
      <c r="E210" s="46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</row>
    <row r="211">
      <c r="A211" s="46"/>
      <c r="B211" s="46"/>
      <c r="C211" s="47"/>
      <c r="D211" s="46"/>
      <c r="E211" s="46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</row>
    <row r="212">
      <c r="A212" s="46"/>
      <c r="B212" s="46"/>
      <c r="C212" s="47"/>
      <c r="D212" s="46"/>
      <c r="E212" s="46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</row>
    <row r="213">
      <c r="A213" s="46"/>
      <c r="B213" s="46"/>
      <c r="C213" s="47"/>
      <c r="D213" s="46"/>
      <c r="E213" s="46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</row>
    <row r="214">
      <c r="A214" s="46"/>
      <c r="B214" s="46"/>
      <c r="C214" s="47"/>
      <c r="D214" s="46"/>
      <c r="E214" s="46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</row>
    <row r="215">
      <c r="A215" s="46"/>
      <c r="B215" s="46"/>
      <c r="C215" s="47"/>
      <c r="D215" s="46"/>
      <c r="E215" s="46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</row>
    <row r="216">
      <c r="A216" s="46"/>
      <c r="B216" s="46"/>
      <c r="C216" s="47"/>
      <c r="D216" s="46"/>
      <c r="E216" s="46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</row>
    <row r="217">
      <c r="A217" s="46"/>
      <c r="B217" s="46"/>
      <c r="C217" s="47"/>
      <c r="D217" s="46"/>
      <c r="E217" s="46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</row>
    <row r="218">
      <c r="A218" s="46"/>
      <c r="B218" s="46"/>
      <c r="C218" s="47"/>
      <c r="D218" s="46"/>
      <c r="E218" s="46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</row>
    <row r="219">
      <c r="A219" s="46"/>
      <c r="B219" s="46"/>
      <c r="C219" s="47"/>
      <c r="D219" s="46"/>
      <c r="E219" s="46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</row>
    <row r="220">
      <c r="A220" s="46"/>
      <c r="B220" s="46"/>
      <c r="C220" s="47"/>
      <c r="D220" s="46"/>
      <c r="E220" s="46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</row>
    <row r="221">
      <c r="A221" s="46"/>
      <c r="B221" s="46"/>
      <c r="C221" s="47"/>
      <c r="D221" s="46"/>
      <c r="E221" s="46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</row>
    <row r="222">
      <c r="A222" s="46"/>
      <c r="B222" s="46"/>
      <c r="C222" s="47"/>
      <c r="D222" s="46"/>
      <c r="E222" s="46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</row>
    <row r="223">
      <c r="A223" s="46"/>
      <c r="B223" s="46"/>
      <c r="C223" s="47"/>
      <c r="D223" s="46"/>
      <c r="E223" s="46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</row>
    <row r="224">
      <c r="A224" s="46"/>
      <c r="B224" s="46"/>
      <c r="C224" s="47"/>
      <c r="D224" s="46"/>
      <c r="E224" s="46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</row>
    <row r="225">
      <c r="A225" s="46"/>
      <c r="B225" s="46"/>
      <c r="C225" s="47"/>
      <c r="D225" s="46"/>
      <c r="E225" s="46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</row>
    <row r="226">
      <c r="A226" s="46"/>
      <c r="B226" s="46"/>
      <c r="C226" s="47"/>
      <c r="D226" s="46"/>
      <c r="E226" s="46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</row>
    <row r="227">
      <c r="A227" s="46"/>
      <c r="B227" s="46"/>
      <c r="C227" s="47"/>
      <c r="D227" s="46"/>
      <c r="E227" s="46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</row>
    <row r="228">
      <c r="A228" s="46"/>
      <c r="B228" s="46"/>
      <c r="C228" s="47"/>
      <c r="D228" s="46"/>
      <c r="E228" s="46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</row>
    <row r="229">
      <c r="A229" s="46"/>
      <c r="B229" s="46"/>
      <c r="C229" s="47"/>
      <c r="D229" s="46"/>
      <c r="E229" s="46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</row>
    <row r="230">
      <c r="A230" s="46"/>
      <c r="B230" s="46"/>
      <c r="C230" s="47"/>
      <c r="D230" s="46"/>
      <c r="E230" s="46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</row>
    <row r="231">
      <c r="A231" s="46"/>
      <c r="B231" s="46"/>
      <c r="C231" s="47"/>
      <c r="D231" s="46"/>
      <c r="E231" s="46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</row>
    <row r="232">
      <c r="A232" s="46"/>
      <c r="B232" s="46"/>
      <c r="C232" s="47"/>
      <c r="D232" s="46"/>
      <c r="E232" s="46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</row>
  </sheetData>
  <mergeCells count="1">
    <mergeCell ref="C4:D4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2.75"/>
  <cols>
    <col customWidth="1" min="1" max="1" width="56.57"/>
    <col customWidth="1" min="2" max="2" width="13.86"/>
    <col customWidth="1" min="3" max="3" width="23.29"/>
    <col customWidth="1" min="4" max="4" width="25.14"/>
    <col customWidth="1" min="5" max="5" width="18.43"/>
  </cols>
  <sheetData>
    <row r="1" ht="15.75" customHeight="1">
      <c r="A1" s="28"/>
      <c r="C1" s="38"/>
    </row>
    <row r="2" ht="15.0" customHeight="1">
      <c r="B2" s="38"/>
      <c r="C2" s="10"/>
    </row>
    <row r="3" ht="15.0" customHeight="1">
      <c r="A3" s="38"/>
      <c r="B3" s="38"/>
      <c r="C3" s="38"/>
    </row>
    <row r="4" ht="15.0" customHeight="1">
      <c r="A4" s="38"/>
      <c r="B4" s="38"/>
      <c r="C4" s="12" t="s">
        <v>7</v>
      </c>
    </row>
    <row r="5" ht="15.0" customHeight="1">
      <c r="A5" s="38"/>
      <c r="B5" s="38"/>
      <c r="C5" s="39"/>
    </row>
    <row r="6" ht="15.0" customHeight="1">
      <c r="A6" s="38"/>
      <c r="B6" s="38"/>
      <c r="C6" s="38"/>
    </row>
    <row r="7" ht="15.0" customHeight="1">
      <c r="A7" s="38"/>
      <c r="B7" s="38"/>
      <c r="C7" s="40" t="s">
        <v>376</v>
      </c>
    </row>
    <row r="8" ht="15.0" customHeight="1">
      <c r="A8" s="17" t="s">
        <v>4</v>
      </c>
      <c r="B8" s="38"/>
    </row>
    <row r="9" ht="15.0" customHeight="1">
      <c r="A9" s="38"/>
      <c r="B9" s="38"/>
      <c r="C9" s="38"/>
    </row>
    <row r="10" ht="15.0" customHeight="1">
      <c r="A10" s="17" t="s">
        <v>5</v>
      </c>
      <c r="B10" s="22" t="s">
        <v>45</v>
      </c>
      <c r="C10" s="41" t="s">
        <v>46</v>
      </c>
      <c r="D10" s="23" t="s">
        <v>390</v>
      </c>
    </row>
    <row r="11" ht="15.0" customHeight="1">
      <c r="A11" s="16" t="s">
        <v>77</v>
      </c>
      <c r="B11" s="26">
        <v>20.0</v>
      </c>
      <c r="C11" s="26">
        <v>83190.0</v>
      </c>
      <c r="D11" s="31">
        <f t="shared" ref="D11:D161" si="1">C11/2</f>
        <v>41595</v>
      </c>
    </row>
    <row r="12" ht="15.0" customHeight="1">
      <c r="A12" s="16" t="s">
        <v>147</v>
      </c>
      <c r="B12" s="26">
        <v>75.0</v>
      </c>
      <c r="C12" s="26">
        <v>103194.0</v>
      </c>
      <c r="D12" s="31">
        <f t="shared" si="1"/>
        <v>51597</v>
      </c>
    </row>
    <row r="13" ht="15.0" customHeight="1">
      <c r="A13" s="16" t="s">
        <v>27</v>
      </c>
      <c r="B13" s="26">
        <v>400.0</v>
      </c>
      <c r="C13" s="26">
        <v>111979.0</v>
      </c>
      <c r="D13" s="31">
        <f t="shared" si="1"/>
        <v>55989.5</v>
      </c>
      <c r="E13" s="42"/>
    </row>
    <row r="14" ht="15.0" customHeight="1">
      <c r="A14" s="16" t="s">
        <v>29</v>
      </c>
      <c r="B14" s="26">
        <v>4000.0</v>
      </c>
      <c r="C14" s="26">
        <v>299174.0</v>
      </c>
      <c r="D14" s="31">
        <f t="shared" si="1"/>
        <v>149587</v>
      </c>
      <c r="E14" s="42"/>
    </row>
    <row r="15" ht="15.0" customHeight="1">
      <c r="A15" s="16" t="s">
        <v>31</v>
      </c>
      <c r="B15" s="26">
        <v>2500.0</v>
      </c>
      <c r="C15" s="26">
        <v>179055.0</v>
      </c>
      <c r="D15" s="31">
        <f t="shared" si="1"/>
        <v>89527.5</v>
      </c>
      <c r="E15" s="42"/>
    </row>
    <row r="16" ht="15.0" customHeight="1">
      <c r="A16" s="16" t="s">
        <v>32</v>
      </c>
      <c r="B16" s="26">
        <v>20000.0</v>
      </c>
      <c r="C16" s="26">
        <v>476808.0</v>
      </c>
      <c r="D16" s="31">
        <f t="shared" si="1"/>
        <v>238404</v>
      </c>
      <c r="E16" s="42"/>
    </row>
    <row r="17" ht="15.0" customHeight="1">
      <c r="A17" s="16" t="s">
        <v>34</v>
      </c>
      <c r="B17" s="26">
        <v>700.0</v>
      </c>
      <c r="C17" s="26">
        <v>86566.0</v>
      </c>
      <c r="D17" s="31">
        <f t="shared" si="1"/>
        <v>43283</v>
      </c>
      <c r="E17" s="42"/>
    </row>
    <row r="18" ht="15.0" customHeight="1">
      <c r="A18" s="16" t="s">
        <v>36</v>
      </c>
      <c r="B18" s="26">
        <v>2500.0</v>
      </c>
      <c r="C18" s="26">
        <v>99815.0</v>
      </c>
      <c r="D18" s="31">
        <f t="shared" si="1"/>
        <v>49907.5</v>
      </c>
      <c r="E18" s="42"/>
    </row>
    <row r="19" ht="15.0" customHeight="1">
      <c r="A19" s="16" t="s">
        <v>37</v>
      </c>
      <c r="B19" s="26">
        <v>500.0</v>
      </c>
      <c r="C19" s="26">
        <v>133540.0</v>
      </c>
      <c r="D19" s="31">
        <f t="shared" si="1"/>
        <v>66770</v>
      </c>
      <c r="E19" s="42"/>
    </row>
    <row r="20" ht="15.0" customHeight="1">
      <c r="A20" s="16" t="s">
        <v>39</v>
      </c>
      <c r="B20" s="26">
        <v>3000.0</v>
      </c>
      <c r="C20" s="26">
        <v>102721.0</v>
      </c>
      <c r="D20" s="31">
        <f t="shared" si="1"/>
        <v>51360.5</v>
      </c>
      <c r="E20" s="42"/>
    </row>
    <row r="21" ht="15.0" customHeight="1">
      <c r="A21" s="16" t="s">
        <v>40</v>
      </c>
      <c r="B21" s="26">
        <v>6000.0</v>
      </c>
      <c r="C21" s="26">
        <v>120854.0</v>
      </c>
      <c r="D21" s="31">
        <f t="shared" si="1"/>
        <v>60427</v>
      </c>
      <c r="E21" s="42"/>
    </row>
    <row r="22" ht="15.0" customHeight="1">
      <c r="A22" s="16" t="s">
        <v>42</v>
      </c>
      <c r="B22" s="26">
        <v>600.0</v>
      </c>
      <c r="C22" s="26">
        <v>196431.0</v>
      </c>
      <c r="D22" s="31">
        <f t="shared" si="1"/>
        <v>98215.5</v>
      </c>
      <c r="E22" s="42"/>
    </row>
    <row r="23" ht="15.0" customHeight="1">
      <c r="A23" s="16" t="s">
        <v>43</v>
      </c>
      <c r="B23" s="26">
        <v>1000.0</v>
      </c>
      <c r="C23" s="26">
        <v>123081.0</v>
      </c>
      <c r="D23" s="31">
        <f t="shared" si="1"/>
        <v>61540.5</v>
      </c>
      <c r="E23" s="42"/>
    </row>
    <row r="24" ht="15.0" customHeight="1">
      <c r="A24" s="16" t="s">
        <v>44</v>
      </c>
      <c r="B24" s="26">
        <v>1200.0</v>
      </c>
      <c r="C24" s="26">
        <v>161852.0</v>
      </c>
      <c r="D24" s="31">
        <f t="shared" si="1"/>
        <v>80926</v>
      </c>
      <c r="E24" s="42"/>
    </row>
    <row r="25" ht="15.0" customHeight="1">
      <c r="A25" s="16" t="s">
        <v>49</v>
      </c>
      <c r="B25" s="26">
        <v>250.0</v>
      </c>
      <c r="C25" s="26">
        <v>145745.0</v>
      </c>
      <c r="D25" s="31">
        <f t="shared" si="1"/>
        <v>72872.5</v>
      </c>
      <c r="E25" s="42"/>
    </row>
    <row r="26" ht="15.0" customHeight="1">
      <c r="A26" s="16" t="s">
        <v>52</v>
      </c>
      <c r="B26" s="26">
        <v>125.0</v>
      </c>
      <c r="C26" s="26">
        <v>181876.0</v>
      </c>
      <c r="D26" s="31">
        <f t="shared" si="1"/>
        <v>90938</v>
      </c>
      <c r="E26" s="42"/>
    </row>
    <row r="27" ht="15.0" customHeight="1">
      <c r="A27" s="16" t="s">
        <v>53</v>
      </c>
      <c r="B27" s="26">
        <v>250.0</v>
      </c>
      <c r="C27" s="26">
        <v>183380.0</v>
      </c>
      <c r="D27" s="31">
        <f t="shared" si="1"/>
        <v>91690</v>
      </c>
      <c r="E27" s="42"/>
    </row>
    <row r="28" ht="15.0" customHeight="1">
      <c r="A28" s="16" t="s">
        <v>54</v>
      </c>
      <c r="B28" s="26">
        <v>800.0</v>
      </c>
      <c r="C28" s="26">
        <v>125614.0</v>
      </c>
      <c r="D28" s="31">
        <f t="shared" si="1"/>
        <v>62807</v>
      </c>
      <c r="E28" s="42"/>
    </row>
    <row r="29" ht="15.0" customHeight="1">
      <c r="A29" s="16" t="s">
        <v>55</v>
      </c>
      <c r="B29" s="26">
        <v>4500.0</v>
      </c>
      <c r="C29" s="26">
        <v>85705.0</v>
      </c>
      <c r="D29" s="31">
        <f t="shared" si="1"/>
        <v>42852.5</v>
      </c>
      <c r="E29" s="42"/>
    </row>
    <row r="30" ht="15.0" customHeight="1">
      <c r="A30" s="16" t="s">
        <v>57</v>
      </c>
      <c r="B30" s="26">
        <v>6000.0</v>
      </c>
      <c r="C30" s="26">
        <v>104105.0</v>
      </c>
      <c r="D30" s="31">
        <f t="shared" si="1"/>
        <v>52052.5</v>
      </c>
      <c r="E30" s="42"/>
    </row>
    <row r="31" ht="15.0" customHeight="1">
      <c r="A31" s="16" t="s">
        <v>58</v>
      </c>
      <c r="B31" s="26">
        <v>550.0</v>
      </c>
      <c r="C31" s="26">
        <v>175667.0</v>
      </c>
      <c r="D31" s="31">
        <f t="shared" si="1"/>
        <v>87833.5</v>
      </c>
      <c r="E31" s="42"/>
    </row>
    <row r="32" ht="15.0" customHeight="1">
      <c r="A32" s="16" t="s">
        <v>59</v>
      </c>
      <c r="B32" s="26">
        <v>6000.0</v>
      </c>
      <c r="C32" s="26">
        <v>129055.0</v>
      </c>
      <c r="D32" s="31">
        <f t="shared" si="1"/>
        <v>64527.5</v>
      </c>
      <c r="E32" s="42"/>
    </row>
    <row r="33" ht="15.0" customHeight="1">
      <c r="A33" s="16" t="s">
        <v>60</v>
      </c>
      <c r="B33" s="26">
        <v>2200.0</v>
      </c>
      <c r="C33" s="26">
        <v>206282.0</v>
      </c>
      <c r="D33" s="31">
        <f t="shared" si="1"/>
        <v>103141</v>
      </c>
      <c r="E33" s="42"/>
    </row>
    <row r="34" ht="15.0" customHeight="1">
      <c r="A34" s="16" t="s">
        <v>62</v>
      </c>
      <c r="B34" s="26">
        <v>1200.0</v>
      </c>
      <c r="C34" s="26">
        <v>101601.0</v>
      </c>
      <c r="D34" s="31">
        <f t="shared" si="1"/>
        <v>50800.5</v>
      </c>
      <c r="E34" s="42"/>
    </row>
    <row r="35" ht="15.0" customHeight="1">
      <c r="A35" s="16" t="s">
        <v>63</v>
      </c>
      <c r="B35" s="26">
        <v>1851.0</v>
      </c>
      <c r="C35" s="26">
        <v>136652.0</v>
      </c>
      <c r="D35" s="31">
        <f t="shared" si="1"/>
        <v>68326</v>
      </c>
      <c r="E35" s="42"/>
    </row>
    <row r="36" ht="15.0" customHeight="1">
      <c r="A36" s="16" t="s">
        <v>64</v>
      </c>
      <c r="B36" s="26">
        <v>7500.0</v>
      </c>
      <c r="C36" s="26">
        <v>152515.0</v>
      </c>
      <c r="D36" s="31">
        <f t="shared" si="1"/>
        <v>76257.5</v>
      </c>
      <c r="E36" s="42"/>
    </row>
    <row r="37" ht="15.0" customHeight="1">
      <c r="A37" s="16" t="s">
        <v>65</v>
      </c>
      <c r="B37" s="26">
        <v>1800.0</v>
      </c>
      <c r="C37" s="26">
        <v>82004.0</v>
      </c>
      <c r="D37" s="31">
        <f t="shared" si="1"/>
        <v>41002</v>
      </c>
      <c r="E37" s="42"/>
    </row>
    <row r="38" ht="15.0" customHeight="1">
      <c r="A38" s="16" t="s">
        <v>67</v>
      </c>
      <c r="B38" s="26">
        <v>30.0</v>
      </c>
      <c r="C38" s="26">
        <v>97049.0</v>
      </c>
      <c r="D38" s="31">
        <f t="shared" si="1"/>
        <v>48524.5</v>
      </c>
      <c r="E38" s="42"/>
    </row>
    <row r="39" ht="15.0" customHeight="1">
      <c r="A39" s="16" t="s">
        <v>68</v>
      </c>
      <c r="B39" s="26">
        <v>1800.0</v>
      </c>
      <c r="C39" s="26">
        <v>206372.0</v>
      </c>
      <c r="D39" s="31">
        <f t="shared" si="1"/>
        <v>103186</v>
      </c>
      <c r="E39" s="42"/>
    </row>
    <row r="40" ht="15.0" customHeight="1">
      <c r="A40" s="16" t="s">
        <v>69</v>
      </c>
      <c r="B40" s="26">
        <v>200.0</v>
      </c>
      <c r="C40" s="26">
        <v>119372.0</v>
      </c>
      <c r="D40" s="31">
        <f t="shared" si="1"/>
        <v>59686</v>
      </c>
      <c r="E40" s="42"/>
    </row>
    <row r="41" ht="15.0" customHeight="1">
      <c r="A41" s="16" t="s">
        <v>71</v>
      </c>
      <c r="B41" s="26">
        <v>1600.0</v>
      </c>
      <c r="C41" s="26">
        <v>73430.0</v>
      </c>
      <c r="D41" s="31">
        <f t="shared" si="1"/>
        <v>36715</v>
      </c>
      <c r="E41" s="42"/>
    </row>
    <row r="42" ht="15.0" customHeight="1">
      <c r="A42" s="16" t="s">
        <v>72</v>
      </c>
      <c r="B42" s="26">
        <v>2000.0</v>
      </c>
      <c r="C42" s="26">
        <v>80875.0</v>
      </c>
      <c r="D42" s="31">
        <f t="shared" si="1"/>
        <v>40437.5</v>
      </c>
      <c r="E42" s="42"/>
    </row>
    <row r="43" ht="15.0" customHeight="1">
      <c r="A43" s="16" t="s">
        <v>73</v>
      </c>
      <c r="B43" s="26">
        <v>3400.0</v>
      </c>
      <c r="C43" s="26">
        <v>111169.0</v>
      </c>
      <c r="D43" s="31">
        <f t="shared" si="1"/>
        <v>55584.5</v>
      </c>
      <c r="E43" s="42"/>
    </row>
    <row r="44" ht="15.0" customHeight="1">
      <c r="A44" s="16" t="s">
        <v>75</v>
      </c>
      <c r="B44" s="26">
        <v>600.0</v>
      </c>
      <c r="C44" s="26">
        <v>67501.0</v>
      </c>
      <c r="D44" s="31">
        <f t="shared" si="1"/>
        <v>33750.5</v>
      </c>
      <c r="E44" s="42"/>
    </row>
    <row r="45" ht="15.0" customHeight="1">
      <c r="A45" s="16" t="s">
        <v>76</v>
      </c>
      <c r="B45" s="26">
        <v>800.0</v>
      </c>
      <c r="C45" s="26">
        <v>117481.0</v>
      </c>
      <c r="D45" s="31">
        <f t="shared" si="1"/>
        <v>58740.5</v>
      </c>
      <c r="E45" s="42"/>
    </row>
    <row r="46" ht="15.0" customHeight="1">
      <c r="A46" s="16" t="s">
        <v>79</v>
      </c>
      <c r="B46" s="26">
        <v>2500.0</v>
      </c>
      <c r="C46" s="26">
        <v>169076.0</v>
      </c>
      <c r="D46" s="31">
        <f t="shared" si="1"/>
        <v>84538</v>
      </c>
      <c r="E46" s="42"/>
    </row>
    <row r="47" ht="15.0" customHeight="1">
      <c r="A47" s="16" t="s">
        <v>80</v>
      </c>
      <c r="B47" s="26">
        <v>1000.0</v>
      </c>
      <c r="C47" s="26">
        <v>85108.0</v>
      </c>
      <c r="D47" s="31">
        <f t="shared" si="1"/>
        <v>42554</v>
      </c>
      <c r="E47" s="42"/>
    </row>
    <row r="48" ht="15.0" customHeight="1">
      <c r="A48" s="16" t="s">
        <v>81</v>
      </c>
      <c r="B48" s="26">
        <v>2200.0</v>
      </c>
      <c r="C48" s="26">
        <v>83340.0</v>
      </c>
      <c r="D48" s="31">
        <f t="shared" si="1"/>
        <v>41670</v>
      </c>
      <c r="E48" s="42"/>
    </row>
    <row r="49" ht="15.0" customHeight="1">
      <c r="A49" s="16" t="s">
        <v>83</v>
      </c>
      <c r="B49" s="26">
        <v>700.0</v>
      </c>
      <c r="C49" s="26">
        <v>193276.0</v>
      </c>
      <c r="D49" s="31">
        <f t="shared" si="1"/>
        <v>96638</v>
      </c>
      <c r="E49" s="42"/>
    </row>
    <row r="50" ht="15.0" customHeight="1">
      <c r="A50" s="16" t="s">
        <v>84</v>
      </c>
      <c r="B50" s="26">
        <v>1563.0</v>
      </c>
      <c r="C50" s="26">
        <v>182634.0</v>
      </c>
      <c r="D50" s="31">
        <f t="shared" si="1"/>
        <v>91317</v>
      </c>
      <c r="E50" s="42"/>
    </row>
    <row r="51" ht="15.0" customHeight="1">
      <c r="A51" s="16" t="s">
        <v>85</v>
      </c>
      <c r="B51" s="26">
        <v>700.0</v>
      </c>
      <c r="C51" s="26">
        <v>71542.0</v>
      </c>
      <c r="D51" s="31">
        <f t="shared" si="1"/>
        <v>35771</v>
      </c>
      <c r="E51" s="42"/>
    </row>
    <row r="52" ht="15.0" customHeight="1">
      <c r="A52" s="16" t="s">
        <v>86</v>
      </c>
      <c r="B52" s="26">
        <v>1250.0</v>
      </c>
      <c r="C52" s="26">
        <v>105290.0</v>
      </c>
      <c r="D52" s="31">
        <f t="shared" si="1"/>
        <v>52645</v>
      </c>
      <c r="E52" s="42"/>
    </row>
    <row r="53" ht="15.0" customHeight="1">
      <c r="A53" s="16" t="s">
        <v>87</v>
      </c>
      <c r="B53" s="26">
        <v>14000.0</v>
      </c>
      <c r="C53" s="26">
        <v>91792.0</v>
      </c>
      <c r="D53" s="31">
        <f t="shared" si="1"/>
        <v>45896</v>
      </c>
      <c r="E53" s="38"/>
    </row>
    <row r="54" ht="15.0" customHeight="1">
      <c r="A54" s="16" t="s">
        <v>88</v>
      </c>
      <c r="B54" s="26">
        <v>400.0</v>
      </c>
      <c r="C54" s="26">
        <v>126191.0</v>
      </c>
      <c r="D54" s="31">
        <f t="shared" si="1"/>
        <v>63095.5</v>
      </c>
      <c r="E54" s="42"/>
    </row>
    <row r="55" ht="15.0" customHeight="1">
      <c r="A55" s="16" t="s">
        <v>89</v>
      </c>
      <c r="B55" s="26">
        <v>2800.0</v>
      </c>
      <c r="C55" s="26">
        <v>121581.0</v>
      </c>
      <c r="D55" s="31">
        <f t="shared" si="1"/>
        <v>60790.5</v>
      </c>
      <c r="E55" s="42"/>
    </row>
    <row r="56" ht="15.0" customHeight="1">
      <c r="A56" s="16" t="s">
        <v>90</v>
      </c>
      <c r="B56" s="26">
        <v>250.0</v>
      </c>
      <c r="C56" s="26">
        <v>124670.0</v>
      </c>
      <c r="D56" s="31">
        <f t="shared" si="1"/>
        <v>62335</v>
      </c>
      <c r="E56" s="42"/>
    </row>
    <row r="57" ht="15.0" customHeight="1">
      <c r="A57" s="16" t="s">
        <v>91</v>
      </c>
      <c r="B57" s="26">
        <v>25.0</v>
      </c>
      <c r="C57" s="26">
        <v>125425.0</v>
      </c>
      <c r="D57" s="31">
        <f t="shared" si="1"/>
        <v>62712.5</v>
      </c>
      <c r="E57" s="42"/>
    </row>
    <row r="58" ht="15.0" customHeight="1">
      <c r="A58" s="16" t="s">
        <v>92</v>
      </c>
      <c r="B58" s="26">
        <v>4000.0</v>
      </c>
      <c r="C58" s="26">
        <v>81075.0</v>
      </c>
      <c r="D58" s="31">
        <f t="shared" si="1"/>
        <v>40537.5</v>
      </c>
      <c r="E58" s="42"/>
    </row>
    <row r="59" ht="15.0" customHeight="1">
      <c r="A59" s="16" t="s">
        <v>93</v>
      </c>
      <c r="B59" s="26">
        <v>1100.0</v>
      </c>
      <c r="C59" s="26">
        <v>160315.0</v>
      </c>
      <c r="D59" s="31">
        <f t="shared" si="1"/>
        <v>80157.5</v>
      </c>
      <c r="E59" s="42"/>
    </row>
    <row r="60" ht="15.0" customHeight="1">
      <c r="A60" s="16" t="s">
        <v>95</v>
      </c>
      <c r="B60" s="26">
        <v>2400.0</v>
      </c>
      <c r="C60" s="26">
        <v>85023.0</v>
      </c>
      <c r="D60" s="31">
        <f t="shared" si="1"/>
        <v>42511.5</v>
      </c>
      <c r="E60" s="38"/>
    </row>
    <row r="61" ht="15.0" customHeight="1">
      <c r="A61" s="16" t="s">
        <v>97</v>
      </c>
      <c r="B61" s="26">
        <v>7000.0</v>
      </c>
      <c r="C61" s="26">
        <v>111552.0</v>
      </c>
      <c r="D61" s="31">
        <f t="shared" si="1"/>
        <v>55776</v>
      </c>
      <c r="E61" s="42"/>
    </row>
    <row r="62" ht="15.0" customHeight="1">
      <c r="A62" s="16" t="s">
        <v>99</v>
      </c>
      <c r="B62" s="26">
        <v>5334.0</v>
      </c>
      <c r="C62" s="26">
        <v>135231.0</v>
      </c>
      <c r="D62" s="31">
        <f t="shared" si="1"/>
        <v>67615.5</v>
      </c>
      <c r="E62" s="42"/>
    </row>
    <row r="63" ht="15.0" customHeight="1">
      <c r="A63" s="16" t="s">
        <v>101</v>
      </c>
      <c r="B63" s="26">
        <v>1000.0</v>
      </c>
      <c r="C63" s="26">
        <v>59777.0</v>
      </c>
      <c r="D63" s="31">
        <f t="shared" si="1"/>
        <v>29888.5</v>
      </c>
      <c r="E63" s="42"/>
    </row>
    <row r="64" ht="15.0" customHeight="1">
      <c r="A64" s="16" t="s">
        <v>103</v>
      </c>
      <c r="B64" s="26">
        <v>45000.0</v>
      </c>
      <c r="C64" s="26">
        <v>199357.0</v>
      </c>
      <c r="D64" s="31">
        <f t="shared" si="1"/>
        <v>99678.5</v>
      </c>
      <c r="E64" s="42"/>
    </row>
    <row r="65" ht="15.0" customHeight="1">
      <c r="A65" s="16" t="s">
        <v>104</v>
      </c>
      <c r="B65" s="26">
        <v>800.0</v>
      </c>
      <c r="C65" s="26">
        <v>107582.0</v>
      </c>
      <c r="D65" s="31">
        <f t="shared" si="1"/>
        <v>53791</v>
      </c>
      <c r="E65" s="42"/>
    </row>
    <row r="66" ht="15.0" customHeight="1">
      <c r="A66" s="16" t="s">
        <v>105</v>
      </c>
      <c r="B66" s="26">
        <v>750.0</v>
      </c>
      <c r="C66" s="26">
        <v>114255.0</v>
      </c>
      <c r="D66" s="31">
        <f t="shared" si="1"/>
        <v>57127.5</v>
      </c>
      <c r="E66" s="42"/>
    </row>
    <row r="67" ht="15.0" customHeight="1">
      <c r="A67" s="16" t="s">
        <v>106</v>
      </c>
      <c r="B67" s="26">
        <v>1000.0</v>
      </c>
      <c r="C67" s="26">
        <v>125036.0</v>
      </c>
      <c r="D67" s="31">
        <f t="shared" si="1"/>
        <v>62518</v>
      </c>
      <c r="E67" s="42"/>
    </row>
    <row r="68" ht="15.0" customHeight="1">
      <c r="A68" s="16" t="s">
        <v>107</v>
      </c>
      <c r="B68" s="26">
        <v>700.0</v>
      </c>
      <c r="C68" s="26">
        <v>144488.0</v>
      </c>
      <c r="D68" s="31">
        <f t="shared" si="1"/>
        <v>72244</v>
      </c>
      <c r="E68" s="42"/>
    </row>
    <row r="69" ht="15.0" customHeight="1">
      <c r="A69" s="16" t="s">
        <v>108</v>
      </c>
      <c r="B69" s="26">
        <v>500.0</v>
      </c>
      <c r="C69" s="26">
        <v>189040.0</v>
      </c>
      <c r="D69" s="31">
        <f t="shared" si="1"/>
        <v>94520</v>
      </c>
      <c r="E69" s="42"/>
    </row>
    <row r="70" ht="15.0" customHeight="1">
      <c r="A70" s="16" t="s">
        <v>109</v>
      </c>
      <c r="B70" s="26">
        <v>500.0</v>
      </c>
      <c r="C70" s="26">
        <v>113494.0</v>
      </c>
      <c r="D70" s="31">
        <f t="shared" si="1"/>
        <v>56747</v>
      </c>
      <c r="E70" s="42"/>
    </row>
    <row r="71" ht="15.0" customHeight="1">
      <c r="A71" s="16" t="s">
        <v>110</v>
      </c>
      <c r="B71" s="26">
        <v>200.0</v>
      </c>
      <c r="C71" s="26">
        <v>97894.0</v>
      </c>
      <c r="D71" s="31">
        <f t="shared" si="1"/>
        <v>48947</v>
      </c>
      <c r="E71" s="42"/>
    </row>
    <row r="72" ht="15.0" customHeight="1">
      <c r="A72" s="16" t="s">
        <v>111</v>
      </c>
      <c r="B72" s="26">
        <v>1500.0</v>
      </c>
      <c r="C72" s="26">
        <v>90399.0</v>
      </c>
      <c r="D72" s="31">
        <f t="shared" si="1"/>
        <v>45199.5</v>
      </c>
      <c r="E72" s="42"/>
    </row>
    <row r="73" ht="15.0" customHeight="1">
      <c r="A73" s="16" t="s">
        <v>113</v>
      </c>
      <c r="B73" s="26">
        <v>3500.0</v>
      </c>
      <c r="C73" s="26">
        <v>119383.0</v>
      </c>
      <c r="D73" s="31">
        <f t="shared" si="1"/>
        <v>59691.5</v>
      </c>
      <c r="E73" s="42"/>
    </row>
    <row r="74" ht="15.0" customHeight="1">
      <c r="A74" s="16" t="s">
        <v>114</v>
      </c>
      <c r="B74" s="26">
        <v>2100.0</v>
      </c>
      <c r="C74" s="26">
        <v>135577.0</v>
      </c>
      <c r="D74" s="31">
        <f t="shared" si="1"/>
        <v>67788.5</v>
      </c>
      <c r="E74" s="42"/>
    </row>
    <row r="75" ht="15.0" customHeight="1">
      <c r="A75" s="16" t="s">
        <v>115</v>
      </c>
      <c r="B75" s="26">
        <v>300.0</v>
      </c>
      <c r="C75" s="26">
        <v>118365.0</v>
      </c>
      <c r="D75" s="31">
        <f t="shared" si="1"/>
        <v>59182.5</v>
      </c>
      <c r="E75" s="42"/>
    </row>
    <row r="76" ht="15.0" customHeight="1">
      <c r="A76" s="16" t="s">
        <v>116</v>
      </c>
      <c r="B76" s="26">
        <v>800.0</v>
      </c>
      <c r="C76" s="26">
        <v>102350.0</v>
      </c>
      <c r="D76" s="31">
        <f t="shared" si="1"/>
        <v>51175</v>
      </c>
      <c r="E76" s="42"/>
    </row>
    <row r="77" ht="15.0" customHeight="1">
      <c r="A77" s="16" t="s">
        <v>117</v>
      </c>
      <c r="B77" s="26">
        <v>1375.0</v>
      </c>
      <c r="C77" s="26">
        <v>121758.0</v>
      </c>
      <c r="D77" s="31">
        <f t="shared" si="1"/>
        <v>60879</v>
      </c>
      <c r="E77" s="42"/>
    </row>
    <row r="78" ht="15.0" customHeight="1">
      <c r="A78" s="16" t="s">
        <v>119</v>
      </c>
      <c r="B78" s="26">
        <v>1500.0</v>
      </c>
      <c r="C78" s="26">
        <v>138629.0</v>
      </c>
      <c r="D78" s="31">
        <f t="shared" si="1"/>
        <v>69314.5</v>
      </c>
      <c r="E78" s="42"/>
    </row>
    <row r="79" ht="15.0" customHeight="1">
      <c r="A79" s="16" t="s">
        <v>120</v>
      </c>
      <c r="B79" s="26">
        <v>28000.0</v>
      </c>
      <c r="C79" s="26">
        <v>62496.0</v>
      </c>
      <c r="D79" s="31">
        <f t="shared" si="1"/>
        <v>31248</v>
      </c>
      <c r="E79" s="42"/>
    </row>
    <row r="80" ht="15.0" customHeight="1">
      <c r="A80" s="16" t="s">
        <v>121</v>
      </c>
      <c r="B80" s="26">
        <v>12000.0</v>
      </c>
      <c r="C80" s="26">
        <v>113704.0</v>
      </c>
      <c r="D80" s="31">
        <f t="shared" si="1"/>
        <v>56852</v>
      </c>
      <c r="E80" s="42"/>
    </row>
    <row r="81" ht="15.0" customHeight="1">
      <c r="A81" s="16" t="s">
        <v>122</v>
      </c>
      <c r="B81" s="26">
        <v>2750.0</v>
      </c>
      <c r="C81" s="26">
        <v>190193.0</v>
      </c>
      <c r="D81" s="31">
        <f t="shared" si="1"/>
        <v>95096.5</v>
      </c>
      <c r="E81" s="42"/>
    </row>
    <row r="82" ht="15.0" customHeight="1">
      <c r="A82" s="16" t="s">
        <v>123</v>
      </c>
      <c r="B82" s="26">
        <v>600.0</v>
      </c>
      <c r="C82" s="26">
        <v>233634.0</v>
      </c>
      <c r="D82" s="31">
        <f t="shared" si="1"/>
        <v>116817</v>
      </c>
      <c r="E82" s="42"/>
    </row>
    <row r="83" ht="15.0" customHeight="1">
      <c r="A83" s="16" t="s">
        <v>124</v>
      </c>
      <c r="B83" s="26">
        <v>400.0</v>
      </c>
      <c r="C83" s="26">
        <v>120532.0</v>
      </c>
      <c r="D83" s="31">
        <f t="shared" si="1"/>
        <v>60266</v>
      </c>
      <c r="E83" s="42"/>
    </row>
    <row r="84" ht="15.0" customHeight="1">
      <c r="A84" s="16" t="s">
        <v>125</v>
      </c>
      <c r="B84" s="26">
        <v>2000.0</v>
      </c>
      <c r="C84" s="26">
        <v>102413.0</v>
      </c>
      <c r="D84" s="31">
        <f t="shared" si="1"/>
        <v>51206.5</v>
      </c>
      <c r="E84" s="42"/>
    </row>
    <row r="85" ht="15.0" customHeight="1">
      <c r="A85" s="16" t="s">
        <v>126</v>
      </c>
      <c r="B85" s="26">
        <v>1200.0</v>
      </c>
      <c r="C85" s="26">
        <v>216666.0</v>
      </c>
      <c r="D85" s="31">
        <f t="shared" si="1"/>
        <v>108333</v>
      </c>
      <c r="E85" s="42"/>
    </row>
    <row r="86" ht="15.0" customHeight="1">
      <c r="A86" s="16" t="s">
        <v>127</v>
      </c>
      <c r="B86" s="26">
        <v>3500.0</v>
      </c>
      <c r="C86" s="26">
        <v>94093.0</v>
      </c>
      <c r="D86" s="31">
        <f t="shared" si="1"/>
        <v>47046.5</v>
      </c>
      <c r="E86" s="42"/>
    </row>
    <row r="87" ht="15.0" customHeight="1">
      <c r="A87" s="16" t="s">
        <v>128</v>
      </c>
      <c r="B87" s="26">
        <v>2400.0</v>
      </c>
      <c r="C87" s="26">
        <v>113112.0</v>
      </c>
      <c r="D87" s="31">
        <f t="shared" si="1"/>
        <v>56556</v>
      </c>
      <c r="E87" s="42"/>
    </row>
    <row r="88" ht="15.0" customHeight="1">
      <c r="A88" s="16" t="s">
        <v>129</v>
      </c>
      <c r="B88" s="26">
        <v>3200.0</v>
      </c>
      <c r="C88" s="26">
        <v>97081.0</v>
      </c>
      <c r="D88" s="31">
        <f t="shared" si="1"/>
        <v>48540.5</v>
      </c>
      <c r="E88" s="42"/>
    </row>
    <row r="89" ht="15.0" customHeight="1">
      <c r="A89" s="16" t="s">
        <v>130</v>
      </c>
      <c r="B89" s="26">
        <v>2000.0</v>
      </c>
      <c r="C89" s="26">
        <v>96045.0</v>
      </c>
      <c r="D89" s="31">
        <f t="shared" si="1"/>
        <v>48022.5</v>
      </c>
      <c r="E89" s="42"/>
    </row>
    <row r="90" ht="15.0" customHeight="1">
      <c r="A90" s="16" t="s">
        <v>131</v>
      </c>
      <c r="B90" s="26">
        <v>500.0</v>
      </c>
      <c r="C90" s="26">
        <v>168575.0</v>
      </c>
      <c r="D90" s="31">
        <f t="shared" si="1"/>
        <v>84287.5</v>
      </c>
      <c r="E90" s="42"/>
    </row>
    <row r="91" ht="15.0" customHeight="1">
      <c r="A91" s="16" t="s">
        <v>132</v>
      </c>
      <c r="B91" s="26">
        <v>1400.0</v>
      </c>
      <c r="C91" s="26">
        <v>182344.0</v>
      </c>
      <c r="D91" s="31">
        <f t="shared" si="1"/>
        <v>91172</v>
      </c>
      <c r="E91" s="42"/>
    </row>
    <row r="92" ht="15.0" customHeight="1">
      <c r="A92" s="16" t="s">
        <v>133</v>
      </c>
      <c r="B92" s="26">
        <v>400.0</v>
      </c>
      <c r="C92" s="26">
        <v>114649.0</v>
      </c>
      <c r="D92" s="31">
        <f t="shared" si="1"/>
        <v>57324.5</v>
      </c>
      <c r="E92" s="42"/>
    </row>
    <row r="93" ht="15.0" customHeight="1">
      <c r="A93" s="16" t="s">
        <v>134</v>
      </c>
      <c r="B93" s="26">
        <v>4500.0</v>
      </c>
      <c r="C93" s="26">
        <v>93698.0</v>
      </c>
      <c r="D93" s="31">
        <f t="shared" si="1"/>
        <v>46849</v>
      </c>
      <c r="E93" s="42"/>
    </row>
    <row r="94" ht="15.0" customHeight="1">
      <c r="A94" s="16" t="s">
        <v>135</v>
      </c>
      <c r="B94" s="26">
        <v>1100.0</v>
      </c>
      <c r="C94" s="26">
        <v>91678.0</v>
      </c>
      <c r="D94" s="31">
        <f t="shared" si="1"/>
        <v>45839</v>
      </c>
      <c r="E94" s="42"/>
    </row>
    <row r="95" ht="15.0" customHeight="1">
      <c r="A95" s="16" t="s">
        <v>136</v>
      </c>
      <c r="B95" s="26">
        <v>375.0</v>
      </c>
      <c r="C95" s="26">
        <v>100848.0</v>
      </c>
      <c r="D95" s="31">
        <f t="shared" si="1"/>
        <v>50424</v>
      </c>
      <c r="E95" s="42"/>
    </row>
    <row r="96" ht="15.0" customHeight="1">
      <c r="A96" s="16" t="s">
        <v>137</v>
      </c>
      <c r="B96" s="26">
        <v>700.0</v>
      </c>
      <c r="C96" s="26">
        <v>93466.0</v>
      </c>
      <c r="D96" s="31">
        <f t="shared" si="1"/>
        <v>46733</v>
      </c>
      <c r="E96" s="42"/>
    </row>
    <row r="97" ht="15.0" customHeight="1">
      <c r="A97" s="16" t="s">
        <v>138</v>
      </c>
      <c r="B97" s="26">
        <v>1000.0</v>
      </c>
      <c r="C97" s="26">
        <v>117061.0</v>
      </c>
      <c r="D97" s="31">
        <f t="shared" si="1"/>
        <v>58530.5</v>
      </c>
      <c r="E97" s="42"/>
    </row>
    <row r="98" ht="15.0" customHeight="1">
      <c r="A98" s="16" t="s">
        <v>139</v>
      </c>
      <c r="B98" s="26">
        <v>1250.0</v>
      </c>
      <c r="C98" s="26">
        <v>101561.0</v>
      </c>
      <c r="D98" s="31">
        <f t="shared" si="1"/>
        <v>50780.5</v>
      </c>
      <c r="E98" s="42"/>
    </row>
    <row r="99" ht="15.0" customHeight="1">
      <c r="A99" s="16" t="s">
        <v>140</v>
      </c>
      <c r="B99" s="26">
        <v>6000.0</v>
      </c>
      <c r="C99" s="26">
        <v>204643.0</v>
      </c>
      <c r="D99" s="31">
        <f t="shared" si="1"/>
        <v>102321.5</v>
      </c>
      <c r="E99" s="42"/>
    </row>
    <row r="100" ht="15.0" customHeight="1">
      <c r="A100" s="16" t="s">
        <v>141</v>
      </c>
      <c r="B100" s="26">
        <v>2600.0</v>
      </c>
      <c r="C100" s="26">
        <v>173551.0</v>
      </c>
      <c r="D100" s="31">
        <f t="shared" si="1"/>
        <v>86775.5</v>
      </c>
      <c r="E100" s="42"/>
    </row>
    <row r="101" ht="15.0" customHeight="1">
      <c r="A101" s="16" t="s">
        <v>142</v>
      </c>
      <c r="B101" s="26">
        <v>75.0</v>
      </c>
      <c r="C101" s="26">
        <v>111399.0</v>
      </c>
      <c r="D101" s="31">
        <f t="shared" si="1"/>
        <v>55699.5</v>
      </c>
      <c r="E101" s="42"/>
    </row>
    <row r="102" ht="15.0" customHeight="1">
      <c r="A102" s="16" t="s">
        <v>143</v>
      </c>
      <c r="B102" s="26">
        <v>1250.0</v>
      </c>
      <c r="C102" s="26">
        <v>138503.0</v>
      </c>
      <c r="D102" s="31">
        <f t="shared" si="1"/>
        <v>69251.5</v>
      </c>
      <c r="E102" s="42"/>
    </row>
    <row r="103" ht="15.0" customHeight="1">
      <c r="A103" s="16" t="s">
        <v>144</v>
      </c>
      <c r="B103" s="26">
        <v>1200.0</v>
      </c>
      <c r="C103" s="26">
        <v>89843.0</v>
      </c>
      <c r="D103" s="31">
        <f t="shared" si="1"/>
        <v>44921.5</v>
      </c>
      <c r="E103" s="42"/>
    </row>
    <row r="104" ht="15.0" customHeight="1">
      <c r="A104" s="16" t="s">
        <v>145</v>
      </c>
      <c r="B104" s="26">
        <v>600.0</v>
      </c>
      <c r="C104" s="26">
        <v>109710.0</v>
      </c>
      <c r="D104" s="31">
        <f t="shared" si="1"/>
        <v>54855</v>
      </c>
      <c r="E104" s="42"/>
    </row>
    <row r="105" ht="15.0" customHeight="1">
      <c r="A105" s="16" t="s">
        <v>146</v>
      </c>
      <c r="B105" s="26">
        <v>600.0</v>
      </c>
      <c r="C105" s="26">
        <v>78497.0</v>
      </c>
      <c r="D105" s="31">
        <f t="shared" si="1"/>
        <v>39248.5</v>
      </c>
      <c r="E105" s="42"/>
    </row>
    <row r="106" ht="15.0" customHeight="1">
      <c r="A106" s="16" t="s">
        <v>148</v>
      </c>
      <c r="B106" s="26">
        <v>3300.0</v>
      </c>
      <c r="C106" s="26">
        <v>106370.0</v>
      </c>
      <c r="D106" s="31">
        <f t="shared" si="1"/>
        <v>53185</v>
      </c>
      <c r="E106" s="42"/>
    </row>
    <row r="107" ht="15.0" customHeight="1">
      <c r="A107" s="16" t="s">
        <v>149</v>
      </c>
      <c r="B107" s="26">
        <v>10.0</v>
      </c>
      <c r="C107" s="26">
        <v>117465.0</v>
      </c>
      <c r="D107" s="31">
        <f t="shared" si="1"/>
        <v>58732.5</v>
      </c>
      <c r="E107" s="42"/>
    </row>
    <row r="108" ht="15.0" customHeight="1">
      <c r="A108" s="16" t="s">
        <v>150</v>
      </c>
      <c r="B108" s="26">
        <v>1500.0</v>
      </c>
      <c r="C108" s="26">
        <v>205727.0</v>
      </c>
      <c r="D108" s="31">
        <f t="shared" si="1"/>
        <v>102863.5</v>
      </c>
      <c r="E108" s="42"/>
    </row>
    <row r="109" ht="15.0" customHeight="1">
      <c r="A109" s="16" t="s">
        <v>151</v>
      </c>
      <c r="B109" s="26">
        <v>10000.0</v>
      </c>
      <c r="C109" s="26">
        <v>96067.0</v>
      </c>
      <c r="D109" s="31">
        <f t="shared" si="1"/>
        <v>48033.5</v>
      </c>
      <c r="E109" s="42"/>
    </row>
    <row r="110" ht="15.0" customHeight="1">
      <c r="A110" s="16" t="s">
        <v>152</v>
      </c>
      <c r="B110" s="26">
        <v>8500.0</v>
      </c>
      <c r="C110" s="26">
        <v>93201.0</v>
      </c>
      <c r="D110" s="31">
        <f t="shared" si="1"/>
        <v>46600.5</v>
      </c>
      <c r="E110" s="38"/>
    </row>
    <row r="111" ht="15.0" customHeight="1">
      <c r="A111" s="16" t="s">
        <v>153</v>
      </c>
      <c r="B111" s="26">
        <v>8000.0</v>
      </c>
      <c r="C111" s="26">
        <v>150952.0</v>
      </c>
      <c r="D111" s="31">
        <f t="shared" si="1"/>
        <v>75476</v>
      </c>
      <c r="E111" s="42"/>
    </row>
    <row r="112" ht="15.0" customHeight="1">
      <c r="A112" s="16" t="s">
        <v>154</v>
      </c>
      <c r="B112" s="26">
        <v>50.0</v>
      </c>
      <c r="C112" s="26">
        <v>135511.0</v>
      </c>
      <c r="D112" s="31">
        <f t="shared" si="1"/>
        <v>67755.5</v>
      </c>
      <c r="E112" s="42"/>
    </row>
    <row r="113" ht="15.0" customHeight="1">
      <c r="A113" s="16" t="s">
        <v>155</v>
      </c>
      <c r="B113" s="26">
        <v>750.0</v>
      </c>
      <c r="C113" s="26">
        <v>212959.0</v>
      </c>
      <c r="D113" s="31">
        <f t="shared" si="1"/>
        <v>106479.5</v>
      </c>
      <c r="E113" s="42"/>
    </row>
    <row r="114" ht="15.0" customHeight="1">
      <c r="A114" s="16" t="s">
        <v>156</v>
      </c>
      <c r="B114" s="26">
        <v>6000.0</v>
      </c>
      <c r="C114" s="26">
        <v>156406.0</v>
      </c>
      <c r="D114" s="31">
        <f t="shared" si="1"/>
        <v>78203</v>
      </c>
      <c r="E114" s="42"/>
    </row>
    <row r="115" ht="15.0" customHeight="1">
      <c r="A115" s="16" t="s">
        <v>157</v>
      </c>
      <c r="B115" s="26">
        <v>4800.0</v>
      </c>
      <c r="C115" s="26">
        <v>105740.0</v>
      </c>
      <c r="D115" s="31">
        <f t="shared" si="1"/>
        <v>52870</v>
      </c>
      <c r="E115" s="42"/>
    </row>
    <row r="116" ht="15.0" customHeight="1">
      <c r="A116" s="16" t="s">
        <v>158</v>
      </c>
      <c r="B116" s="26">
        <v>3399.0</v>
      </c>
      <c r="C116" s="26">
        <v>113198.0</v>
      </c>
      <c r="D116" s="31">
        <f t="shared" si="1"/>
        <v>56599</v>
      </c>
      <c r="E116" s="42"/>
    </row>
    <row r="117" ht="15.0" customHeight="1">
      <c r="A117" s="16" t="s">
        <v>159</v>
      </c>
      <c r="B117" s="26">
        <v>3750.0</v>
      </c>
      <c r="C117" s="26">
        <v>96355.0</v>
      </c>
      <c r="D117" s="31">
        <f t="shared" si="1"/>
        <v>48177.5</v>
      </c>
      <c r="E117" s="42"/>
    </row>
    <row r="118" ht="15.0" customHeight="1">
      <c r="A118" s="16" t="s">
        <v>160</v>
      </c>
      <c r="B118" s="26">
        <v>25.0</v>
      </c>
      <c r="C118" s="26">
        <v>130036.0</v>
      </c>
      <c r="D118" s="31">
        <f t="shared" si="1"/>
        <v>65018</v>
      </c>
      <c r="E118" s="42"/>
    </row>
    <row r="119" ht="15.0" customHeight="1">
      <c r="A119" s="16" t="s">
        <v>161</v>
      </c>
      <c r="B119" s="26">
        <v>302.0</v>
      </c>
      <c r="C119" s="26">
        <v>152589.0</v>
      </c>
      <c r="D119" s="31">
        <f t="shared" si="1"/>
        <v>76294.5</v>
      </c>
      <c r="E119" s="42"/>
    </row>
    <row r="120" ht="15.0" customHeight="1">
      <c r="A120" s="16" t="s">
        <v>162</v>
      </c>
      <c r="B120" s="26">
        <v>3000.0</v>
      </c>
      <c r="C120" s="26">
        <v>154846.0</v>
      </c>
      <c r="D120" s="31">
        <f t="shared" si="1"/>
        <v>77423</v>
      </c>
      <c r="E120" s="42"/>
    </row>
    <row r="121" ht="15.0" customHeight="1">
      <c r="A121" s="16" t="s">
        <v>163</v>
      </c>
      <c r="B121" s="26">
        <v>6200.0</v>
      </c>
      <c r="C121" s="26">
        <v>119863.0</v>
      </c>
      <c r="D121" s="31">
        <f t="shared" si="1"/>
        <v>59931.5</v>
      </c>
      <c r="E121" s="42"/>
    </row>
    <row r="122" ht="15.0" customHeight="1">
      <c r="A122" s="16" t="s">
        <v>164</v>
      </c>
      <c r="B122" s="26">
        <v>500.0</v>
      </c>
      <c r="C122" s="26">
        <v>123612.0</v>
      </c>
      <c r="D122" s="31">
        <f t="shared" si="1"/>
        <v>61806</v>
      </c>
      <c r="E122" s="42"/>
    </row>
    <row r="123" ht="15.0" customHeight="1">
      <c r="A123" s="16" t="s">
        <v>165</v>
      </c>
      <c r="B123" s="26">
        <v>7000.0</v>
      </c>
      <c r="C123" s="26">
        <v>88520.0</v>
      </c>
      <c r="D123" s="31">
        <f t="shared" si="1"/>
        <v>44260</v>
      </c>
      <c r="E123" s="42"/>
    </row>
    <row r="124" ht="15.0" customHeight="1">
      <c r="A124" s="16" t="s">
        <v>166</v>
      </c>
      <c r="B124" s="26">
        <v>4000.0</v>
      </c>
      <c r="C124" s="26">
        <v>144588.0</v>
      </c>
      <c r="D124" s="31">
        <f t="shared" si="1"/>
        <v>72294</v>
      </c>
      <c r="E124" s="42"/>
    </row>
    <row r="125" ht="15.0" customHeight="1">
      <c r="A125" s="16" t="s">
        <v>167</v>
      </c>
      <c r="B125" s="26">
        <v>400.0</v>
      </c>
      <c r="C125" s="26">
        <v>130490.0</v>
      </c>
      <c r="D125" s="31">
        <f t="shared" si="1"/>
        <v>65245</v>
      </c>
      <c r="E125" s="42"/>
    </row>
    <row r="126" ht="15.0" customHeight="1">
      <c r="A126" s="16" t="s">
        <v>168</v>
      </c>
      <c r="B126" s="26">
        <v>800.0</v>
      </c>
      <c r="C126" s="26">
        <v>112240.0</v>
      </c>
      <c r="D126" s="31">
        <f t="shared" si="1"/>
        <v>56120</v>
      </c>
      <c r="E126" s="42"/>
    </row>
    <row r="127" ht="15.0" customHeight="1">
      <c r="A127" s="16" t="s">
        <v>169</v>
      </c>
      <c r="B127" s="26">
        <v>1200.0</v>
      </c>
      <c r="C127" s="26">
        <v>122712.0</v>
      </c>
      <c r="D127" s="31">
        <f t="shared" si="1"/>
        <v>61356</v>
      </c>
      <c r="E127" s="42"/>
    </row>
    <row r="128" ht="15.0" customHeight="1">
      <c r="A128" s="16" t="s">
        <v>170</v>
      </c>
      <c r="B128" s="26">
        <v>6000.0</v>
      </c>
      <c r="C128" s="26">
        <v>149626.0</v>
      </c>
      <c r="D128" s="31">
        <f t="shared" si="1"/>
        <v>74813</v>
      </c>
      <c r="E128" s="42"/>
    </row>
    <row r="129" ht="15.0" customHeight="1">
      <c r="A129" s="16" t="s">
        <v>171</v>
      </c>
      <c r="B129" s="26">
        <v>500.0</v>
      </c>
      <c r="C129" s="26">
        <v>134060.0</v>
      </c>
      <c r="D129" s="31">
        <f t="shared" si="1"/>
        <v>67030</v>
      </c>
      <c r="E129" s="42"/>
    </row>
    <row r="130" ht="15.0" customHeight="1">
      <c r="A130" s="16" t="s">
        <v>172</v>
      </c>
      <c r="B130" s="26">
        <v>12000.0</v>
      </c>
      <c r="C130" s="26">
        <v>104535.0</v>
      </c>
      <c r="D130" s="31">
        <f t="shared" si="1"/>
        <v>52267.5</v>
      </c>
      <c r="E130" s="42"/>
    </row>
    <row r="131" ht="15.0" customHeight="1">
      <c r="A131" s="16" t="s">
        <v>173</v>
      </c>
      <c r="B131" s="26">
        <v>3000.0</v>
      </c>
      <c r="C131" s="26">
        <v>202401.0</v>
      </c>
      <c r="D131" s="31">
        <f t="shared" si="1"/>
        <v>101200.5</v>
      </c>
      <c r="E131" s="42"/>
    </row>
    <row r="132" ht="15.0" customHeight="1">
      <c r="A132" s="16" t="s">
        <v>174</v>
      </c>
      <c r="B132" s="26">
        <v>50.0</v>
      </c>
      <c r="C132" s="26">
        <v>182095.0</v>
      </c>
      <c r="D132" s="31">
        <f t="shared" si="1"/>
        <v>91047.5</v>
      </c>
      <c r="E132" s="42"/>
    </row>
    <row r="133" ht="15.0" customHeight="1">
      <c r="A133" s="16" t="s">
        <v>175</v>
      </c>
      <c r="B133" s="26">
        <v>550.0</v>
      </c>
      <c r="C133" s="26">
        <v>164044.0</v>
      </c>
      <c r="D133" s="31">
        <f t="shared" si="1"/>
        <v>82022</v>
      </c>
      <c r="E133" s="42"/>
    </row>
    <row r="134" ht="15.0" customHeight="1">
      <c r="A134" s="16" t="s">
        <v>176</v>
      </c>
      <c r="B134" s="26">
        <v>250.0</v>
      </c>
      <c r="C134" s="26">
        <v>126613.0</v>
      </c>
      <c r="D134" s="31">
        <f t="shared" si="1"/>
        <v>63306.5</v>
      </c>
      <c r="E134" s="42"/>
    </row>
    <row r="135" ht="15.0" customHeight="1">
      <c r="A135" s="16" t="s">
        <v>177</v>
      </c>
      <c r="B135" s="26">
        <v>600.0</v>
      </c>
      <c r="C135" s="26">
        <v>148208.0</v>
      </c>
      <c r="D135" s="31">
        <f t="shared" si="1"/>
        <v>74104</v>
      </c>
      <c r="E135" s="42"/>
    </row>
    <row r="136" ht="15.0" customHeight="1">
      <c r="A136" s="16" t="s">
        <v>178</v>
      </c>
      <c r="B136" s="26">
        <v>1200.0</v>
      </c>
      <c r="C136" s="26">
        <v>107494.0</v>
      </c>
      <c r="D136" s="31">
        <f t="shared" si="1"/>
        <v>53747</v>
      </c>
      <c r="E136" s="42"/>
    </row>
    <row r="137" ht="15.0" customHeight="1">
      <c r="A137" s="16" t="s">
        <v>179</v>
      </c>
      <c r="B137" s="26">
        <v>1100.0</v>
      </c>
      <c r="C137" s="26">
        <v>86579.0</v>
      </c>
      <c r="D137" s="31">
        <f t="shared" si="1"/>
        <v>43289.5</v>
      </c>
      <c r="E137" s="42"/>
    </row>
    <row r="138" ht="15.0" customHeight="1">
      <c r="A138" s="16" t="s">
        <v>180</v>
      </c>
      <c r="B138" s="26">
        <v>1000.0</v>
      </c>
      <c r="C138" s="26">
        <v>103283.0</v>
      </c>
      <c r="D138" s="31">
        <f t="shared" si="1"/>
        <v>51641.5</v>
      </c>
      <c r="E138" s="42"/>
    </row>
    <row r="139" ht="15.0" customHeight="1">
      <c r="A139" s="16" t="s">
        <v>181</v>
      </c>
      <c r="B139" s="26">
        <v>900.0</v>
      </c>
      <c r="C139" s="26">
        <v>100271.0</v>
      </c>
      <c r="D139" s="31">
        <f t="shared" si="1"/>
        <v>50135.5</v>
      </c>
      <c r="E139" s="42"/>
    </row>
    <row r="140" ht="15.0" customHeight="1">
      <c r="A140" s="16" t="s">
        <v>182</v>
      </c>
      <c r="B140" s="26">
        <v>600.0</v>
      </c>
      <c r="C140" s="26">
        <v>106080.0</v>
      </c>
      <c r="D140" s="31">
        <f t="shared" si="1"/>
        <v>53040</v>
      </c>
      <c r="E140" s="42"/>
    </row>
    <row r="141" ht="15.0" customHeight="1">
      <c r="A141" s="16" t="s">
        <v>183</v>
      </c>
      <c r="B141" s="26">
        <v>2700.0</v>
      </c>
      <c r="C141" s="26">
        <v>142869.0</v>
      </c>
      <c r="D141" s="31">
        <f t="shared" si="1"/>
        <v>71434.5</v>
      </c>
      <c r="E141" s="42"/>
    </row>
    <row r="142" ht="15.0" customHeight="1">
      <c r="A142" s="16" t="s">
        <v>184</v>
      </c>
      <c r="B142" s="26">
        <v>3000.0</v>
      </c>
      <c r="C142" s="26">
        <v>203659.0</v>
      </c>
      <c r="D142" s="31">
        <f t="shared" si="1"/>
        <v>101829.5</v>
      </c>
      <c r="E142" s="42"/>
    </row>
    <row r="143" ht="15.0" customHeight="1">
      <c r="A143" s="16" t="s">
        <v>185</v>
      </c>
      <c r="B143" s="26">
        <v>6000.0</v>
      </c>
      <c r="C143" s="26">
        <v>191126.0</v>
      </c>
      <c r="D143" s="31">
        <f t="shared" si="1"/>
        <v>95563</v>
      </c>
      <c r="E143" s="42"/>
    </row>
    <row r="144" ht="15.0" customHeight="1">
      <c r="A144" s="16" t="s">
        <v>186</v>
      </c>
      <c r="B144" s="26">
        <v>9000.0</v>
      </c>
      <c r="C144" s="26">
        <v>102509.0</v>
      </c>
      <c r="D144" s="31">
        <f t="shared" si="1"/>
        <v>51254.5</v>
      </c>
      <c r="E144" s="42"/>
    </row>
    <row r="145" ht="15.0" customHeight="1">
      <c r="A145" s="16" t="s">
        <v>187</v>
      </c>
      <c r="B145" s="26">
        <v>1061.0</v>
      </c>
      <c r="C145" s="26">
        <v>88155.0</v>
      </c>
      <c r="D145" s="31">
        <f t="shared" si="1"/>
        <v>44077.5</v>
      </c>
      <c r="E145" s="42"/>
    </row>
    <row r="146" ht="15.0" customHeight="1">
      <c r="A146" s="16" t="s">
        <v>188</v>
      </c>
      <c r="B146" s="26">
        <v>250.0</v>
      </c>
      <c r="C146" s="26">
        <v>102814.0</v>
      </c>
      <c r="D146" s="31">
        <f t="shared" si="1"/>
        <v>51407</v>
      </c>
      <c r="E146" s="42"/>
    </row>
    <row r="147" ht="15.0" customHeight="1">
      <c r="A147" s="16" t="s">
        <v>189</v>
      </c>
      <c r="B147" s="26">
        <v>1200.0</v>
      </c>
      <c r="C147" s="26">
        <v>163286.0</v>
      </c>
      <c r="D147" s="31">
        <f t="shared" si="1"/>
        <v>81643</v>
      </c>
      <c r="E147" s="42"/>
    </row>
    <row r="148" ht="15.0" customHeight="1">
      <c r="A148" s="16" t="s">
        <v>190</v>
      </c>
      <c r="B148" s="26">
        <v>750.0</v>
      </c>
      <c r="C148" s="26">
        <v>177880.0</v>
      </c>
      <c r="D148" s="31">
        <f t="shared" si="1"/>
        <v>88940</v>
      </c>
      <c r="E148" s="42"/>
    </row>
    <row r="149" ht="15.0" customHeight="1">
      <c r="A149" s="16" t="s">
        <v>191</v>
      </c>
      <c r="B149" s="26">
        <v>500.0</v>
      </c>
      <c r="C149" s="26">
        <v>158889.0</v>
      </c>
      <c r="D149" s="31">
        <f t="shared" si="1"/>
        <v>79444.5</v>
      </c>
      <c r="E149" s="42"/>
    </row>
    <row r="150" ht="15.0" customHeight="1">
      <c r="A150" s="16" t="s">
        <v>192</v>
      </c>
      <c r="B150" s="26">
        <v>3000.0</v>
      </c>
      <c r="C150" s="26">
        <v>151596.0</v>
      </c>
      <c r="D150" s="31">
        <f t="shared" si="1"/>
        <v>75798</v>
      </c>
      <c r="E150" s="42"/>
    </row>
    <row r="151" ht="15.0" customHeight="1">
      <c r="A151" s="16" t="s">
        <v>193</v>
      </c>
      <c r="B151" s="26">
        <v>1100.0</v>
      </c>
      <c r="C151" s="26">
        <v>122238.0</v>
      </c>
      <c r="D151" s="31">
        <f t="shared" si="1"/>
        <v>61119</v>
      </c>
      <c r="E151" s="42"/>
    </row>
    <row r="152" ht="15.0" customHeight="1">
      <c r="A152" s="16" t="s">
        <v>194</v>
      </c>
      <c r="B152" s="26">
        <v>700.0</v>
      </c>
      <c r="C152" s="26">
        <v>159864.0</v>
      </c>
      <c r="D152" s="31">
        <f t="shared" si="1"/>
        <v>79932</v>
      </c>
      <c r="E152" s="42"/>
    </row>
    <row r="153" ht="15.0" customHeight="1">
      <c r="A153" s="16" t="s">
        <v>195</v>
      </c>
      <c r="B153" s="26">
        <v>1600.0</v>
      </c>
      <c r="C153" s="26">
        <v>111341.0</v>
      </c>
      <c r="D153" s="31">
        <f t="shared" si="1"/>
        <v>55670.5</v>
      </c>
      <c r="E153" s="42"/>
    </row>
    <row r="154" ht="15.0" customHeight="1">
      <c r="A154" s="16" t="s">
        <v>196</v>
      </c>
      <c r="B154" s="26">
        <v>200.0</v>
      </c>
      <c r="C154" s="26">
        <v>149986.0</v>
      </c>
      <c r="D154" s="31">
        <f t="shared" si="1"/>
        <v>74993</v>
      </c>
      <c r="E154" s="42"/>
    </row>
    <row r="155" ht="15.0" customHeight="1">
      <c r="A155" s="16" t="s">
        <v>197</v>
      </c>
      <c r="B155" s="26">
        <v>7000.0</v>
      </c>
      <c r="C155" s="26">
        <v>91455.0</v>
      </c>
      <c r="D155" s="31">
        <f t="shared" si="1"/>
        <v>45727.5</v>
      </c>
      <c r="E155" s="42"/>
    </row>
    <row r="156" ht="15.0" customHeight="1">
      <c r="A156" s="16" t="s">
        <v>198</v>
      </c>
      <c r="B156" s="26">
        <v>900.0</v>
      </c>
      <c r="C156" s="26">
        <v>96066.0</v>
      </c>
      <c r="D156" s="31">
        <f t="shared" si="1"/>
        <v>48033</v>
      </c>
      <c r="E156" s="42"/>
    </row>
    <row r="157" ht="15.0" customHeight="1">
      <c r="A157" s="16" t="s">
        <v>199</v>
      </c>
      <c r="B157" s="26">
        <v>3000.0</v>
      </c>
      <c r="C157" s="26">
        <v>95375.0</v>
      </c>
      <c r="D157" s="31">
        <f t="shared" si="1"/>
        <v>47687.5</v>
      </c>
      <c r="E157" s="42"/>
    </row>
    <row r="158" ht="15.0" customHeight="1">
      <c r="A158" s="16" t="s">
        <v>200</v>
      </c>
      <c r="B158" s="26">
        <v>1000.0</v>
      </c>
      <c r="C158" s="26">
        <v>128990.0</v>
      </c>
      <c r="D158" s="31">
        <f t="shared" si="1"/>
        <v>64495</v>
      </c>
      <c r="E158" s="42"/>
    </row>
    <row r="159" ht="15.0" customHeight="1">
      <c r="A159" s="16" t="s">
        <v>201</v>
      </c>
      <c r="B159" s="26">
        <v>3200.0</v>
      </c>
      <c r="C159" s="26">
        <v>147285.0</v>
      </c>
      <c r="D159" s="31">
        <f t="shared" si="1"/>
        <v>73642.5</v>
      </c>
      <c r="E159" s="42"/>
    </row>
    <row r="160" ht="15.0" customHeight="1">
      <c r="A160" s="16" t="s">
        <v>202</v>
      </c>
      <c r="B160" s="26">
        <v>2200.0</v>
      </c>
      <c r="C160" s="26">
        <v>76833.0</v>
      </c>
      <c r="D160" s="31">
        <f t="shared" si="1"/>
        <v>38416.5</v>
      </c>
      <c r="E160" s="42"/>
    </row>
    <row r="161" ht="15.0" customHeight="1">
      <c r="A161" s="16" t="s">
        <v>203</v>
      </c>
      <c r="B161" s="26">
        <v>1300.0</v>
      </c>
      <c r="C161" s="26">
        <v>109383.0</v>
      </c>
      <c r="D161" s="31">
        <f t="shared" si="1"/>
        <v>54691.5</v>
      </c>
      <c r="E161" s="42"/>
    </row>
    <row r="162" ht="15.0" customHeight="1">
      <c r="A162" s="16"/>
      <c r="B162" s="26"/>
      <c r="C162" s="26"/>
      <c r="D162" s="26"/>
      <c r="E162" s="42"/>
    </row>
    <row r="163" ht="15.0" customHeight="1">
      <c r="A163" s="16"/>
      <c r="B163" s="26"/>
      <c r="C163" s="26"/>
      <c r="D163" s="26"/>
      <c r="E163" s="42"/>
    </row>
    <row r="164" ht="15.0" customHeight="1">
      <c r="A164" s="16" t="s">
        <v>548</v>
      </c>
      <c r="B164" s="26">
        <v>50.0</v>
      </c>
      <c r="C164" s="26">
        <v>89890.0</v>
      </c>
      <c r="D164" s="26">
        <f>C164/2</f>
        <v>44945</v>
      </c>
      <c r="E164" s="42"/>
    </row>
    <row r="165" ht="15.0" customHeight="1">
      <c r="A165" s="16"/>
      <c r="B165" s="26"/>
      <c r="C165" s="26"/>
      <c r="D165" s="26"/>
      <c r="E165" s="42"/>
    </row>
    <row r="166" ht="15.0" customHeight="1">
      <c r="A166" s="16"/>
      <c r="B166" s="26"/>
      <c r="C166" s="26"/>
      <c r="D166" s="26"/>
      <c r="E166" s="42"/>
    </row>
    <row r="167" ht="15.0" customHeight="1">
      <c r="A167" s="16"/>
      <c r="B167" s="26"/>
      <c r="C167" s="26"/>
      <c r="D167" s="26"/>
      <c r="E167" s="42"/>
    </row>
    <row r="168" ht="15.0" customHeight="1">
      <c r="A168" s="16"/>
      <c r="B168" s="26"/>
      <c r="C168" s="26"/>
      <c r="D168" s="26"/>
      <c r="E168" s="42"/>
    </row>
    <row r="169" ht="15.0" customHeight="1">
      <c r="A169" s="28"/>
      <c r="B169" s="28"/>
      <c r="C169" s="38"/>
      <c r="D169" s="42"/>
      <c r="E169" s="42"/>
    </row>
    <row r="170" ht="15.0" customHeight="1">
      <c r="A170" s="28"/>
      <c r="B170" s="28"/>
      <c r="C170" s="38"/>
      <c r="D170" s="42"/>
      <c r="E170" s="42"/>
    </row>
    <row r="171" ht="15.0" customHeight="1">
      <c r="A171" s="28"/>
      <c r="B171" s="28"/>
      <c r="C171" s="38"/>
      <c r="D171" s="42"/>
      <c r="E171" s="42"/>
    </row>
    <row r="172" ht="15.0" customHeight="1">
      <c r="A172" s="28"/>
      <c r="B172" s="28"/>
      <c r="C172" s="38"/>
      <c r="D172" s="42"/>
      <c r="E172" s="42"/>
    </row>
    <row r="173" ht="15.0" customHeight="1">
      <c r="A173" s="28"/>
      <c r="B173" s="28"/>
      <c r="C173" s="38"/>
      <c r="D173" s="42"/>
      <c r="E173" s="42"/>
    </row>
    <row r="174" ht="15.0" customHeight="1">
      <c r="A174" s="28"/>
      <c r="B174" s="28"/>
      <c r="C174" s="38"/>
      <c r="D174" s="42"/>
      <c r="E174" s="42"/>
    </row>
    <row r="175" ht="15.0" customHeight="1">
      <c r="A175" s="28"/>
      <c r="B175" s="28"/>
      <c r="C175" s="38"/>
      <c r="D175" s="42"/>
      <c r="E175" s="42"/>
    </row>
    <row r="176" ht="15.0" customHeight="1">
      <c r="A176" s="28"/>
      <c r="B176" s="28"/>
      <c r="C176" s="38"/>
      <c r="D176" s="42"/>
      <c r="E176" s="42"/>
    </row>
    <row r="177" ht="15.0" customHeight="1">
      <c r="A177" s="28"/>
      <c r="B177" s="28"/>
      <c r="C177" s="38"/>
      <c r="D177" s="42"/>
      <c r="E177" s="42"/>
    </row>
    <row r="178" ht="15.0" customHeight="1">
      <c r="A178" s="28"/>
      <c r="B178" s="28"/>
      <c r="C178" s="38"/>
      <c r="D178" s="42"/>
      <c r="E178" s="42"/>
    </row>
    <row r="179" ht="15.0" customHeight="1">
      <c r="A179" s="28"/>
      <c r="B179" s="28"/>
      <c r="C179" s="38"/>
      <c r="D179" s="42"/>
      <c r="E179" s="42"/>
    </row>
    <row r="180" ht="15.0" customHeight="1">
      <c r="A180" s="28"/>
      <c r="B180" s="28"/>
      <c r="C180" s="38"/>
      <c r="D180" s="42"/>
      <c r="E180" s="42"/>
    </row>
    <row r="181" ht="15.0" customHeight="1">
      <c r="A181" s="28"/>
      <c r="B181" s="28"/>
      <c r="C181" s="38"/>
      <c r="D181" s="42"/>
      <c r="E181" s="42"/>
    </row>
    <row r="182" ht="15.0" customHeight="1">
      <c r="A182" s="28"/>
      <c r="B182" s="28"/>
      <c r="C182" s="38"/>
      <c r="D182" s="42"/>
      <c r="E182" s="42"/>
    </row>
    <row r="183" ht="15.0" customHeight="1">
      <c r="A183" s="28"/>
      <c r="B183" s="28"/>
      <c r="C183" s="38"/>
      <c r="D183" s="42"/>
      <c r="E183" s="42"/>
    </row>
    <row r="184" ht="15.0" customHeight="1">
      <c r="A184" s="28"/>
      <c r="B184" s="28"/>
      <c r="C184" s="38"/>
      <c r="D184" s="42"/>
      <c r="E184" s="42"/>
    </row>
    <row r="185" ht="15.0" customHeight="1">
      <c r="A185" s="28"/>
      <c r="B185" s="28"/>
      <c r="C185" s="38"/>
      <c r="D185" s="42"/>
      <c r="E185" s="42"/>
    </row>
    <row r="186" ht="15.0" customHeight="1">
      <c r="A186" s="28"/>
      <c r="B186" s="28"/>
      <c r="C186" s="38"/>
      <c r="D186" s="42"/>
      <c r="E186" s="42"/>
    </row>
    <row r="187" ht="15.0" customHeight="1">
      <c r="A187" s="28"/>
      <c r="B187" s="28"/>
      <c r="C187" s="38"/>
      <c r="D187" s="42"/>
      <c r="E187" s="42"/>
    </row>
    <row r="188" ht="15.0" customHeight="1">
      <c r="A188" s="28"/>
      <c r="B188" s="28"/>
      <c r="C188" s="38"/>
      <c r="D188" s="42"/>
      <c r="E188" s="42"/>
    </row>
    <row r="189" ht="15.0" customHeight="1">
      <c r="A189" s="28"/>
      <c r="B189" s="28"/>
      <c r="C189" s="38"/>
      <c r="D189" s="42"/>
      <c r="E189" s="42"/>
    </row>
    <row r="190" ht="15.0" customHeight="1">
      <c r="A190" s="28"/>
      <c r="B190" s="28"/>
      <c r="C190" s="38"/>
      <c r="D190" s="42"/>
      <c r="E190" s="42"/>
    </row>
    <row r="191" ht="15.0" customHeight="1">
      <c r="A191" s="28"/>
      <c r="B191" s="28"/>
      <c r="C191" s="38"/>
      <c r="D191" s="42"/>
      <c r="E191" s="42"/>
    </row>
    <row r="192" ht="15.0" customHeight="1">
      <c r="A192" s="28"/>
      <c r="B192" s="28"/>
      <c r="C192" s="38"/>
      <c r="D192" s="42"/>
      <c r="E192" s="42"/>
    </row>
    <row r="193" ht="15.0" customHeight="1">
      <c r="A193" s="28"/>
      <c r="B193" s="28"/>
      <c r="C193" s="38"/>
      <c r="D193" s="42"/>
      <c r="E193" s="42"/>
    </row>
    <row r="194" ht="15.0" customHeight="1">
      <c r="E194" s="42"/>
    </row>
    <row r="195" ht="15.0" customHeight="1">
      <c r="E195" s="42"/>
    </row>
    <row r="196" ht="15.0" customHeight="1">
      <c r="E196" s="42"/>
    </row>
    <row r="197" ht="15.0" customHeight="1">
      <c r="E197" s="42"/>
    </row>
    <row r="198" ht="15.0" customHeight="1">
      <c r="E198" s="42"/>
    </row>
    <row r="199" ht="15.0" customHeight="1">
      <c r="E199" s="42"/>
    </row>
    <row r="200" ht="15.0" customHeight="1">
      <c r="E200" s="42"/>
    </row>
    <row r="201" ht="15.0" customHeight="1">
      <c r="E201" s="42"/>
    </row>
    <row r="202" ht="15.0" customHeight="1">
      <c r="A202" s="28"/>
      <c r="B202" s="28"/>
      <c r="C202" s="38"/>
      <c r="D202" s="42"/>
      <c r="E202" s="42"/>
    </row>
    <row r="203" ht="15.0" customHeight="1">
      <c r="A203" s="28"/>
      <c r="B203" s="28"/>
      <c r="C203" s="38"/>
      <c r="D203" s="42"/>
      <c r="E203" s="42"/>
    </row>
    <row r="204" ht="15.0" customHeight="1">
      <c r="A204" s="28"/>
      <c r="B204" s="28"/>
      <c r="C204" s="38"/>
      <c r="D204" s="42"/>
      <c r="E204" s="42"/>
    </row>
    <row r="205" ht="15.0" customHeight="1">
      <c r="A205" s="28"/>
      <c r="B205" s="28"/>
      <c r="C205" s="38"/>
      <c r="D205" s="42"/>
      <c r="E205" s="42"/>
    </row>
    <row r="206" ht="15.0" customHeight="1">
      <c r="A206" s="28"/>
      <c r="B206" s="28"/>
      <c r="C206" s="38"/>
      <c r="D206" s="42"/>
      <c r="E206" s="42"/>
    </row>
    <row r="207" ht="15.0" customHeight="1">
      <c r="A207" s="28"/>
      <c r="B207" s="28"/>
      <c r="C207" s="38"/>
      <c r="D207" s="42"/>
      <c r="E207" s="42"/>
    </row>
    <row r="208" ht="15.0" customHeight="1">
      <c r="A208" s="28"/>
      <c r="B208" s="28"/>
      <c r="C208" s="38"/>
      <c r="D208" s="42"/>
      <c r="E208" s="42"/>
    </row>
    <row r="209" ht="15.0" customHeight="1">
      <c r="A209" s="28"/>
      <c r="B209" s="28"/>
      <c r="C209" s="38"/>
      <c r="D209" s="42"/>
      <c r="E209" s="42"/>
    </row>
    <row r="210" ht="15.0" customHeight="1">
      <c r="A210" s="28"/>
      <c r="B210" s="28"/>
      <c r="C210" s="38"/>
      <c r="D210" s="42"/>
      <c r="E210" s="42"/>
    </row>
    <row r="211" ht="15.0" customHeight="1">
      <c r="A211" s="28"/>
      <c r="B211" s="28"/>
      <c r="C211" s="38"/>
      <c r="D211" s="42"/>
      <c r="E211" s="42"/>
    </row>
    <row r="212" ht="15.0" customHeight="1">
      <c r="A212" s="28"/>
      <c r="B212" s="28"/>
      <c r="C212" s="38"/>
      <c r="D212" s="42"/>
      <c r="E212" s="42"/>
    </row>
    <row r="213" ht="15.0" customHeight="1">
      <c r="A213" s="28"/>
      <c r="B213" s="28"/>
      <c r="C213" s="38"/>
      <c r="D213" s="42"/>
      <c r="E213" s="42"/>
    </row>
    <row r="214" ht="15.0" customHeight="1">
      <c r="A214" s="28"/>
      <c r="B214" s="28"/>
      <c r="C214" s="38"/>
      <c r="D214" s="42"/>
      <c r="E214" s="42"/>
    </row>
    <row r="215" ht="15.0" customHeight="1">
      <c r="A215" s="28"/>
      <c r="B215" s="28"/>
      <c r="C215" s="38"/>
      <c r="D215" s="42"/>
      <c r="E215" s="42"/>
    </row>
    <row r="216" ht="15.0" customHeight="1">
      <c r="A216" s="28"/>
      <c r="B216" s="28"/>
      <c r="C216" s="38"/>
      <c r="D216" s="42"/>
      <c r="E216" s="42"/>
    </row>
    <row r="217" ht="15.0" customHeight="1">
      <c r="A217" s="28"/>
      <c r="B217" s="28"/>
      <c r="C217" s="38"/>
      <c r="D217" s="42"/>
      <c r="E217" s="42"/>
    </row>
    <row r="218" ht="15.0" customHeight="1">
      <c r="A218" s="28"/>
      <c r="B218" s="28"/>
      <c r="C218" s="38"/>
      <c r="D218" s="42"/>
      <c r="E218" s="42"/>
    </row>
    <row r="219" ht="15.0" customHeight="1">
      <c r="A219" s="28"/>
      <c r="B219" s="28"/>
      <c r="C219" s="38"/>
      <c r="D219" s="42"/>
      <c r="E219" s="42"/>
    </row>
    <row r="220" ht="15.0" customHeight="1">
      <c r="A220" s="28"/>
      <c r="B220" s="28"/>
      <c r="C220" s="38"/>
      <c r="D220" s="42"/>
      <c r="E220" s="42"/>
    </row>
    <row r="221" ht="15.0" customHeight="1">
      <c r="A221" s="28"/>
      <c r="B221" s="28"/>
      <c r="C221" s="38"/>
      <c r="D221" s="42"/>
      <c r="E221" s="42"/>
    </row>
    <row r="222" ht="15.0" customHeight="1">
      <c r="A222" s="28"/>
      <c r="B222" s="28"/>
      <c r="C222" s="38"/>
      <c r="D222" s="42"/>
      <c r="E222" s="42"/>
    </row>
    <row r="223" ht="15.0" customHeight="1">
      <c r="A223" s="28"/>
      <c r="B223" s="28"/>
      <c r="C223" s="38"/>
      <c r="D223" s="42"/>
      <c r="E223" s="42"/>
    </row>
    <row r="224" ht="15.0" customHeight="1">
      <c r="A224" s="28"/>
      <c r="B224" s="28"/>
      <c r="C224" s="38"/>
      <c r="D224" s="42"/>
      <c r="E224" s="42"/>
    </row>
    <row r="225" ht="15.0" customHeight="1">
      <c r="A225" s="28"/>
      <c r="B225" s="28"/>
      <c r="C225" s="38"/>
      <c r="D225" s="42"/>
      <c r="E225" s="42"/>
    </row>
    <row r="226" ht="15.0" customHeight="1">
      <c r="A226" s="28"/>
      <c r="B226" s="28"/>
      <c r="C226" s="38"/>
      <c r="D226" s="42"/>
      <c r="E226" s="42"/>
    </row>
    <row r="227" ht="15.0" customHeight="1">
      <c r="A227" s="28"/>
      <c r="B227" s="28"/>
      <c r="C227" s="38"/>
      <c r="D227" s="42"/>
      <c r="E227" s="42"/>
    </row>
    <row r="228" ht="15.0" customHeight="1">
      <c r="A228" s="28"/>
      <c r="B228" s="28"/>
      <c r="C228" s="38"/>
      <c r="D228" s="42"/>
      <c r="E228" s="42"/>
    </row>
    <row r="229" ht="15.0" customHeight="1">
      <c r="A229" s="28"/>
      <c r="B229" s="28"/>
      <c r="C229" s="38"/>
      <c r="D229" s="42"/>
      <c r="E229" s="42"/>
    </row>
    <row r="230" ht="15.0" customHeight="1">
      <c r="A230" s="28"/>
      <c r="B230" s="28"/>
      <c r="C230" s="38"/>
      <c r="D230" s="42"/>
      <c r="E230" s="42"/>
    </row>
    <row r="231" ht="15.0" customHeight="1">
      <c r="A231" s="28"/>
      <c r="B231" s="28"/>
      <c r="C231" s="38"/>
      <c r="D231" s="42"/>
      <c r="E231" s="42"/>
    </row>
    <row r="232" ht="15.0" customHeight="1">
      <c r="A232" s="28"/>
      <c r="B232" s="28"/>
      <c r="C232" s="38"/>
      <c r="D232" s="42"/>
      <c r="E232" s="42"/>
    </row>
    <row r="233" ht="15.0" customHeight="1">
      <c r="A233" s="28"/>
      <c r="B233" s="28"/>
      <c r="C233" s="38"/>
      <c r="D233" s="42"/>
      <c r="E233" s="42"/>
    </row>
    <row r="234" ht="15.0" customHeight="1">
      <c r="A234" s="28"/>
      <c r="B234" s="28"/>
      <c r="C234" s="38"/>
      <c r="D234" s="42"/>
      <c r="E234" s="42"/>
    </row>
    <row r="235" ht="15.0" customHeight="1">
      <c r="A235" s="28"/>
      <c r="B235" s="28"/>
      <c r="C235" s="38"/>
      <c r="D235" s="42"/>
      <c r="E235" s="42"/>
    </row>
    <row r="236" ht="15.0" customHeight="1">
      <c r="A236" s="28"/>
      <c r="B236" s="28"/>
      <c r="C236" s="38"/>
      <c r="D236" s="42"/>
      <c r="E236" s="42"/>
    </row>
    <row r="237" ht="15.0" customHeight="1">
      <c r="A237" s="28"/>
      <c r="B237" s="28"/>
      <c r="C237" s="38"/>
      <c r="D237" s="42"/>
      <c r="E237" s="42"/>
    </row>
    <row r="238" ht="15.0" customHeight="1">
      <c r="A238" s="28"/>
      <c r="B238" s="28"/>
      <c r="C238" s="38"/>
      <c r="D238" s="42"/>
      <c r="E238" s="42"/>
    </row>
    <row r="239" ht="15.0" customHeight="1">
      <c r="A239" s="28"/>
      <c r="B239" s="28"/>
      <c r="C239" s="38"/>
      <c r="D239" s="42"/>
      <c r="E239" s="42"/>
    </row>
    <row r="240" ht="15.0" customHeight="1">
      <c r="A240" s="28"/>
      <c r="B240" s="28"/>
      <c r="C240" s="38"/>
      <c r="D240" s="42"/>
      <c r="E240" s="42"/>
    </row>
    <row r="241" ht="15.0" customHeight="1">
      <c r="A241" s="28"/>
      <c r="B241" s="28"/>
      <c r="C241" s="38"/>
      <c r="D241" s="42"/>
      <c r="E241" s="42"/>
    </row>
    <row r="242" ht="15.0" customHeight="1">
      <c r="A242" s="28"/>
      <c r="B242" s="28"/>
      <c r="C242" s="38"/>
      <c r="D242" s="42"/>
      <c r="E242" s="42"/>
    </row>
    <row r="243" ht="15.0" customHeight="1">
      <c r="A243" s="28"/>
      <c r="B243" s="28"/>
      <c r="C243" s="38"/>
      <c r="D243" s="42"/>
      <c r="E243" s="42"/>
    </row>
    <row r="244" ht="15.0" customHeight="1">
      <c r="A244" s="28"/>
      <c r="B244" s="28"/>
      <c r="C244" s="38"/>
      <c r="D244" s="42"/>
      <c r="E244" s="42"/>
    </row>
    <row r="245" ht="15.0" customHeight="1">
      <c r="A245" s="28"/>
      <c r="B245" s="28"/>
      <c r="C245" s="38"/>
      <c r="D245" s="42"/>
      <c r="E245" s="42"/>
    </row>
    <row r="246" ht="15.0" customHeight="1">
      <c r="A246" s="28"/>
      <c r="B246" s="28"/>
      <c r="C246" s="38"/>
      <c r="D246" s="42"/>
      <c r="E246" s="42"/>
    </row>
    <row r="247" ht="15.0" customHeight="1">
      <c r="A247" s="28"/>
      <c r="B247" s="28"/>
      <c r="C247" s="38"/>
      <c r="D247" s="42"/>
      <c r="E247" s="42"/>
    </row>
    <row r="248" ht="15.0" customHeight="1">
      <c r="A248" s="28"/>
      <c r="B248" s="28"/>
      <c r="C248" s="38"/>
      <c r="D248" s="42"/>
      <c r="E248" s="42"/>
    </row>
    <row r="249" ht="15.0" customHeight="1">
      <c r="A249" s="28"/>
      <c r="B249" s="28"/>
      <c r="C249" s="38"/>
      <c r="D249" s="42"/>
      <c r="E249" s="42"/>
    </row>
    <row r="250" ht="15.0" customHeight="1">
      <c r="A250" s="28"/>
      <c r="B250" s="28"/>
      <c r="C250" s="38"/>
      <c r="D250" s="42"/>
      <c r="E250" s="42"/>
    </row>
    <row r="251" ht="15.0" customHeight="1">
      <c r="A251" s="28"/>
      <c r="B251" s="28"/>
      <c r="C251" s="38"/>
      <c r="D251" s="42"/>
      <c r="E251" s="42"/>
    </row>
    <row r="252" ht="15.0" customHeight="1">
      <c r="A252" s="28"/>
      <c r="B252" s="28"/>
      <c r="C252" s="38"/>
      <c r="D252" s="42"/>
      <c r="E252" s="42"/>
    </row>
    <row r="253" ht="15.0" customHeight="1">
      <c r="A253" s="28"/>
      <c r="B253" s="28"/>
      <c r="C253" s="38"/>
      <c r="D253" s="42"/>
      <c r="E253" s="42"/>
    </row>
    <row r="254" ht="15.0" customHeight="1">
      <c r="A254" s="28"/>
      <c r="B254" s="28"/>
      <c r="C254" s="38"/>
      <c r="D254" s="42"/>
      <c r="E254" s="42"/>
    </row>
    <row r="255" ht="15.0" customHeight="1">
      <c r="A255" s="28"/>
      <c r="B255" s="28"/>
      <c r="C255" s="38"/>
      <c r="D255" s="42"/>
      <c r="E255" s="42"/>
    </row>
    <row r="256" ht="15.0" customHeight="1">
      <c r="A256" s="28"/>
      <c r="B256" s="28"/>
      <c r="C256" s="38"/>
      <c r="D256" s="42"/>
      <c r="E256" s="42"/>
    </row>
    <row r="257" ht="15.0" customHeight="1">
      <c r="A257" s="28"/>
      <c r="B257" s="28"/>
      <c r="C257" s="38"/>
      <c r="D257" s="42"/>
      <c r="E257" s="42"/>
    </row>
    <row r="258" ht="15.0" customHeight="1">
      <c r="A258" s="28"/>
      <c r="B258" s="28"/>
      <c r="C258" s="38"/>
      <c r="D258" s="42"/>
      <c r="E258" s="42"/>
    </row>
    <row r="259" ht="15.0" customHeight="1">
      <c r="A259" s="28"/>
      <c r="B259" s="28"/>
      <c r="C259" s="38"/>
      <c r="D259" s="42"/>
      <c r="E259" s="42"/>
    </row>
    <row r="260" ht="15.0" customHeight="1">
      <c r="A260" s="28"/>
      <c r="B260" s="28"/>
      <c r="C260" s="38"/>
      <c r="D260" s="42"/>
      <c r="E260" s="42"/>
    </row>
    <row r="261" ht="15.0" customHeight="1">
      <c r="A261" s="28"/>
      <c r="B261" s="28"/>
      <c r="C261" s="38"/>
      <c r="D261" s="42"/>
      <c r="E261" s="42"/>
    </row>
    <row r="262" ht="15.0" customHeight="1">
      <c r="A262" s="28"/>
      <c r="B262" s="28"/>
      <c r="C262" s="38"/>
      <c r="D262" s="42"/>
      <c r="E262" s="42"/>
    </row>
    <row r="263" ht="15.0" customHeight="1">
      <c r="A263" s="28"/>
      <c r="B263" s="28"/>
      <c r="C263" s="38"/>
      <c r="D263" s="42"/>
      <c r="E263" s="42"/>
    </row>
    <row r="264" ht="15.0" customHeight="1">
      <c r="A264" s="28"/>
      <c r="B264" s="28"/>
      <c r="C264" s="38"/>
      <c r="D264" s="42"/>
      <c r="E264" s="42"/>
    </row>
    <row r="265" ht="15.0" customHeight="1">
      <c r="A265" s="28"/>
      <c r="B265" s="28"/>
      <c r="C265" s="38"/>
      <c r="D265" s="42"/>
      <c r="E265" s="42"/>
    </row>
    <row r="266" ht="15.0" customHeight="1">
      <c r="A266" s="28"/>
      <c r="B266" s="28"/>
      <c r="C266" s="38"/>
      <c r="D266" s="42"/>
      <c r="E266" s="42"/>
    </row>
    <row r="267" ht="15.0" customHeight="1">
      <c r="A267" s="28"/>
      <c r="B267" s="28"/>
      <c r="C267" s="38"/>
      <c r="D267" s="42"/>
      <c r="E267" s="42"/>
    </row>
    <row r="268" ht="15.0" customHeight="1">
      <c r="A268" s="28"/>
      <c r="B268" s="28"/>
      <c r="C268" s="38"/>
      <c r="D268" s="42"/>
      <c r="E268" s="42"/>
    </row>
    <row r="269" ht="15.0" customHeight="1">
      <c r="A269" s="28"/>
      <c r="B269" s="28"/>
      <c r="C269" s="38"/>
      <c r="D269" s="42"/>
      <c r="E269" s="42"/>
    </row>
    <row r="270" ht="15.0" customHeight="1">
      <c r="A270" s="28"/>
      <c r="B270" s="28"/>
      <c r="C270" s="38"/>
      <c r="D270" s="42"/>
      <c r="E270" s="42"/>
    </row>
    <row r="271" ht="15.0" customHeight="1">
      <c r="A271" s="28"/>
      <c r="B271" s="28"/>
      <c r="C271" s="38"/>
      <c r="D271" s="42"/>
      <c r="E271" s="42"/>
    </row>
    <row r="272" ht="15.0" customHeight="1">
      <c r="A272" s="28"/>
      <c r="B272" s="28"/>
      <c r="C272" s="38"/>
      <c r="D272" s="42"/>
      <c r="E272" s="42"/>
    </row>
    <row r="273" ht="15.0" customHeight="1">
      <c r="A273" s="28"/>
      <c r="B273" s="28"/>
      <c r="C273" s="38"/>
      <c r="D273" s="42"/>
      <c r="E273" s="42"/>
    </row>
    <row r="274" ht="15.0" customHeight="1">
      <c r="A274" s="28"/>
      <c r="B274" s="28"/>
      <c r="C274" s="38"/>
      <c r="D274" s="42"/>
      <c r="E274" s="42"/>
    </row>
    <row r="275" ht="15.0" customHeight="1">
      <c r="A275" s="28"/>
      <c r="B275" s="28"/>
      <c r="C275" s="38"/>
      <c r="D275" s="42"/>
      <c r="E275" s="42"/>
    </row>
    <row r="276" ht="15.0" customHeight="1">
      <c r="A276" s="28"/>
      <c r="B276" s="28"/>
      <c r="C276" s="38"/>
      <c r="D276" s="42"/>
      <c r="E276" s="42"/>
    </row>
    <row r="277" ht="15.0" customHeight="1">
      <c r="A277" s="28"/>
      <c r="B277" s="28"/>
      <c r="C277" s="38"/>
      <c r="D277" s="42"/>
      <c r="E277" s="42"/>
    </row>
    <row r="278" ht="15.0" customHeight="1">
      <c r="A278" s="28"/>
      <c r="B278" s="28"/>
      <c r="C278" s="38"/>
      <c r="D278" s="42"/>
      <c r="E278" s="42"/>
    </row>
    <row r="279" ht="15.0" customHeight="1">
      <c r="A279" s="28"/>
      <c r="B279" s="28"/>
      <c r="C279" s="38"/>
      <c r="D279" s="42"/>
      <c r="E279" s="42"/>
    </row>
    <row r="280" ht="15.0" customHeight="1">
      <c r="A280" s="28"/>
      <c r="B280" s="28"/>
      <c r="C280" s="38"/>
      <c r="D280" s="42"/>
      <c r="E280" s="42"/>
    </row>
    <row r="281" ht="15.0" customHeight="1">
      <c r="A281" s="28"/>
      <c r="B281" s="28"/>
      <c r="C281" s="38"/>
      <c r="D281" s="42"/>
      <c r="E281" s="42"/>
    </row>
    <row r="282" ht="15.0" customHeight="1">
      <c r="A282" s="28"/>
      <c r="B282" s="28"/>
      <c r="C282" s="38"/>
      <c r="D282" s="42"/>
      <c r="E282" s="42"/>
    </row>
    <row r="283" ht="15.0" customHeight="1">
      <c r="A283" s="28"/>
      <c r="B283" s="28"/>
      <c r="C283" s="38"/>
      <c r="D283" s="42"/>
      <c r="E283" s="42"/>
    </row>
    <row r="284" ht="15.0" customHeight="1">
      <c r="A284" s="28"/>
      <c r="B284" s="28"/>
      <c r="C284" s="38"/>
      <c r="D284" s="42"/>
      <c r="E284" s="42"/>
    </row>
    <row r="285" ht="15.0" customHeight="1">
      <c r="A285" s="28"/>
      <c r="B285" s="28"/>
      <c r="C285" s="38"/>
      <c r="D285" s="42"/>
      <c r="E285" s="42"/>
    </row>
    <row r="286" ht="15.0" customHeight="1">
      <c r="A286" s="28"/>
      <c r="B286" s="28"/>
      <c r="C286" s="38"/>
      <c r="D286" s="42"/>
      <c r="E286" s="42"/>
    </row>
    <row r="287" ht="15.0" customHeight="1">
      <c r="A287" s="28"/>
      <c r="B287" s="28"/>
      <c r="C287" s="38"/>
      <c r="D287" s="42"/>
      <c r="E287" s="42"/>
    </row>
    <row r="288" ht="15.0" customHeight="1">
      <c r="A288" s="28"/>
      <c r="B288" s="28"/>
      <c r="C288" s="38"/>
      <c r="D288" s="42"/>
      <c r="E288" s="42"/>
    </row>
    <row r="289" ht="15.0" customHeight="1">
      <c r="A289" s="28"/>
      <c r="B289" s="28"/>
      <c r="C289" s="38"/>
      <c r="D289" s="42"/>
      <c r="E289" s="42"/>
    </row>
    <row r="290" ht="15.0" customHeight="1">
      <c r="A290" s="28"/>
      <c r="B290" s="28"/>
      <c r="C290" s="38"/>
      <c r="D290" s="42"/>
      <c r="E290" s="42"/>
    </row>
    <row r="291" ht="15.0" customHeight="1">
      <c r="A291" s="28"/>
      <c r="B291" s="28"/>
      <c r="C291" s="38"/>
      <c r="D291" s="42"/>
      <c r="E291" s="42"/>
    </row>
    <row r="292" ht="15.0" customHeight="1">
      <c r="A292" s="28"/>
      <c r="B292" s="28"/>
      <c r="C292" s="38"/>
      <c r="D292" s="42"/>
      <c r="E292" s="42"/>
    </row>
    <row r="293" ht="15.0" customHeight="1">
      <c r="A293" s="28"/>
      <c r="B293" s="28"/>
      <c r="C293" s="38"/>
      <c r="D293" s="42"/>
      <c r="E293" s="42"/>
    </row>
    <row r="294" ht="15.0" customHeight="1">
      <c r="A294" s="28"/>
      <c r="B294" s="28"/>
      <c r="C294" s="38"/>
      <c r="D294" s="42"/>
      <c r="E294" s="42"/>
    </row>
    <row r="295" ht="15.0" customHeight="1">
      <c r="A295" s="28"/>
      <c r="B295" s="28"/>
      <c r="C295" s="38"/>
      <c r="D295" s="42"/>
      <c r="E295" s="42"/>
    </row>
    <row r="296" ht="15.0" customHeight="1">
      <c r="A296" s="28"/>
      <c r="B296" s="28"/>
      <c r="C296" s="38"/>
      <c r="D296" s="42"/>
      <c r="E296" s="42"/>
    </row>
    <row r="297" ht="15.0" customHeight="1">
      <c r="A297" s="28"/>
      <c r="B297" s="28"/>
      <c r="C297" s="38"/>
      <c r="D297" s="42"/>
      <c r="E297" s="42"/>
    </row>
    <row r="298" ht="15.0" customHeight="1">
      <c r="A298" s="28"/>
      <c r="B298" s="28"/>
      <c r="C298" s="38"/>
      <c r="D298" s="42"/>
      <c r="E298" s="42"/>
    </row>
    <row r="299" ht="15.0" customHeight="1">
      <c r="A299" s="28"/>
      <c r="B299" s="28"/>
      <c r="C299" s="38"/>
      <c r="D299" s="42"/>
      <c r="E299" s="42"/>
    </row>
    <row r="300" ht="15.0" customHeight="1">
      <c r="A300" s="28"/>
      <c r="B300" s="28"/>
      <c r="C300" s="38"/>
      <c r="D300" s="42"/>
      <c r="E300" s="42"/>
    </row>
    <row r="301" ht="15.0" customHeight="1">
      <c r="A301" s="28"/>
      <c r="B301" s="28"/>
      <c r="C301" s="38"/>
      <c r="D301" s="42"/>
      <c r="E301" s="42"/>
    </row>
    <row r="302" ht="15.0" customHeight="1">
      <c r="A302" s="28"/>
      <c r="B302" s="28"/>
      <c r="C302" s="38"/>
      <c r="D302" s="42"/>
      <c r="E302" s="42"/>
    </row>
    <row r="303" ht="15.0" customHeight="1">
      <c r="A303" s="28"/>
      <c r="B303" s="28"/>
      <c r="C303" s="38"/>
      <c r="D303" s="42"/>
      <c r="E303" s="42"/>
    </row>
    <row r="304" ht="15.0" customHeight="1">
      <c r="A304" s="28"/>
      <c r="B304" s="28"/>
      <c r="C304" s="38"/>
      <c r="D304" s="42"/>
      <c r="E304" s="42"/>
    </row>
    <row r="305" ht="15.0" customHeight="1">
      <c r="A305" s="28"/>
      <c r="B305" s="28"/>
      <c r="C305" s="38"/>
      <c r="D305" s="42"/>
      <c r="E305" s="42"/>
    </row>
    <row r="306" ht="15.0" customHeight="1">
      <c r="A306" s="28"/>
      <c r="B306" s="28"/>
      <c r="C306" s="38"/>
      <c r="D306" s="42"/>
      <c r="E306" s="42"/>
    </row>
    <row r="307" ht="15.0" customHeight="1">
      <c r="A307" s="28"/>
      <c r="B307" s="28"/>
      <c r="C307" s="38"/>
      <c r="D307" s="42"/>
      <c r="E307" s="42"/>
    </row>
    <row r="308" ht="15.0" customHeight="1">
      <c r="A308" s="28"/>
      <c r="B308" s="28"/>
      <c r="C308" s="38"/>
      <c r="D308" s="42"/>
      <c r="E308" s="42"/>
    </row>
    <row r="309" ht="15.0" customHeight="1">
      <c r="A309" s="28"/>
      <c r="B309" s="28"/>
      <c r="C309" s="38"/>
      <c r="D309" s="42"/>
      <c r="E309" s="42"/>
    </row>
    <row r="310" ht="15.0" customHeight="1">
      <c r="A310" s="28"/>
      <c r="B310" s="28"/>
      <c r="C310" s="38"/>
      <c r="D310" s="42"/>
      <c r="E310" s="42"/>
    </row>
    <row r="311" ht="15.0" customHeight="1">
      <c r="A311" s="28"/>
      <c r="B311" s="28"/>
      <c r="C311" s="38"/>
      <c r="D311" s="42"/>
      <c r="E311" s="42"/>
    </row>
    <row r="312" ht="15.0" customHeight="1">
      <c r="A312" s="28"/>
      <c r="B312" s="28"/>
      <c r="C312" s="38"/>
      <c r="D312" s="42"/>
      <c r="E312" s="42"/>
    </row>
    <row r="313" ht="15.0" customHeight="1">
      <c r="A313" s="28"/>
      <c r="B313" s="28"/>
      <c r="C313" s="38"/>
      <c r="D313" s="42"/>
      <c r="E313" s="42"/>
    </row>
    <row r="314" ht="15.0" customHeight="1">
      <c r="A314" s="28"/>
      <c r="B314" s="28"/>
      <c r="C314" s="38"/>
      <c r="D314" s="42"/>
      <c r="E314" s="42"/>
    </row>
    <row r="315" ht="15.0" customHeight="1">
      <c r="A315" s="28"/>
      <c r="B315" s="28"/>
      <c r="C315" s="38"/>
      <c r="D315" s="42"/>
      <c r="E315" s="42"/>
    </row>
    <row r="316" ht="15.0" customHeight="1">
      <c r="A316" s="28"/>
      <c r="B316" s="28"/>
      <c r="C316" s="38"/>
      <c r="D316" s="42"/>
      <c r="E316" s="42"/>
    </row>
    <row r="317" ht="15.0" customHeight="1">
      <c r="A317" s="28"/>
      <c r="B317" s="28"/>
      <c r="C317" s="38"/>
      <c r="D317" s="42"/>
      <c r="E317" s="42"/>
    </row>
    <row r="318" ht="15.0" customHeight="1">
      <c r="A318" s="28"/>
      <c r="B318" s="28"/>
      <c r="C318" s="38"/>
      <c r="D318" s="42"/>
      <c r="E318" s="42"/>
    </row>
    <row r="319" ht="15.0" customHeight="1">
      <c r="A319" s="28"/>
      <c r="B319" s="28"/>
      <c r="C319" s="38"/>
      <c r="D319" s="42"/>
      <c r="E319" s="42"/>
    </row>
    <row r="320" ht="15.0" customHeight="1">
      <c r="A320" s="28"/>
      <c r="B320" s="28"/>
      <c r="C320" s="38"/>
      <c r="D320" s="42"/>
      <c r="E320" s="42"/>
    </row>
    <row r="321" ht="15.0" customHeight="1">
      <c r="A321" s="28"/>
      <c r="B321" s="28"/>
      <c r="C321" s="38"/>
      <c r="D321" s="42"/>
      <c r="E321" s="42"/>
    </row>
    <row r="322" ht="15.0" customHeight="1">
      <c r="A322" s="28"/>
      <c r="B322" s="28"/>
      <c r="C322" s="38"/>
      <c r="D322" s="42"/>
      <c r="E322" s="42"/>
    </row>
    <row r="323" ht="15.0" customHeight="1">
      <c r="A323" s="28"/>
      <c r="B323" s="28"/>
      <c r="C323" s="38"/>
      <c r="D323" s="42"/>
      <c r="E323" s="42"/>
    </row>
    <row r="324" ht="15.0" customHeight="1">
      <c r="A324" s="28"/>
      <c r="B324" s="28"/>
      <c r="C324" s="38"/>
      <c r="D324" s="42"/>
      <c r="E324" s="42"/>
    </row>
    <row r="325" ht="15.0" customHeight="1">
      <c r="A325" s="28"/>
      <c r="B325" s="28"/>
      <c r="C325" s="38"/>
      <c r="D325" s="42"/>
      <c r="E325" s="42"/>
    </row>
    <row r="326" ht="15.0" customHeight="1">
      <c r="A326" s="28"/>
      <c r="B326" s="28"/>
      <c r="C326" s="38"/>
      <c r="D326" s="42"/>
      <c r="E326" s="42"/>
    </row>
    <row r="327" ht="15.0" customHeight="1">
      <c r="A327" s="28"/>
      <c r="B327" s="28"/>
      <c r="C327" s="38"/>
      <c r="D327" s="42"/>
      <c r="E327" s="42"/>
    </row>
    <row r="328" ht="15.0" customHeight="1">
      <c r="A328" s="28"/>
      <c r="B328" s="28"/>
      <c r="C328" s="38"/>
      <c r="D328" s="42"/>
      <c r="E328" s="42"/>
    </row>
    <row r="329" ht="15.0" customHeight="1">
      <c r="A329" s="28"/>
      <c r="B329" s="28"/>
      <c r="C329" s="38"/>
      <c r="D329" s="42"/>
      <c r="E329" s="42"/>
    </row>
    <row r="330" ht="15.0" customHeight="1">
      <c r="A330" s="28"/>
      <c r="B330" s="28"/>
      <c r="C330" s="38"/>
      <c r="D330" s="42"/>
      <c r="E330" s="42"/>
    </row>
    <row r="331" ht="15.0" customHeight="1">
      <c r="A331" s="28"/>
      <c r="B331" s="28"/>
      <c r="C331" s="38"/>
      <c r="D331" s="42"/>
      <c r="E331" s="42"/>
    </row>
    <row r="332" ht="15.0" customHeight="1">
      <c r="A332" s="28"/>
      <c r="B332" s="28"/>
      <c r="C332" s="38"/>
      <c r="D332" s="42"/>
      <c r="E332" s="42"/>
    </row>
    <row r="333" ht="15.0" customHeight="1">
      <c r="A333" s="28"/>
      <c r="B333" s="28"/>
      <c r="C333" s="38"/>
      <c r="D333" s="42"/>
      <c r="E333" s="42"/>
    </row>
    <row r="334" ht="15.0" customHeight="1">
      <c r="A334" s="28"/>
      <c r="B334" s="28"/>
      <c r="C334" s="38"/>
      <c r="D334" s="42"/>
      <c r="E334" s="42"/>
    </row>
    <row r="335" ht="15.0" customHeight="1">
      <c r="A335" s="28"/>
      <c r="B335" s="28"/>
      <c r="C335" s="38"/>
      <c r="D335" s="42"/>
      <c r="E335" s="42"/>
    </row>
    <row r="336" ht="15.0" customHeight="1">
      <c r="A336" s="28"/>
      <c r="B336" s="28"/>
      <c r="C336" s="38"/>
      <c r="D336" s="42"/>
      <c r="E336" s="42"/>
    </row>
    <row r="337" ht="15.0" customHeight="1">
      <c r="A337" s="28"/>
      <c r="B337" s="28"/>
      <c r="C337" s="38"/>
      <c r="D337" s="42"/>
      <c r="E337" s="42"/>
    </row>
    <row r="338" ht="15.0" customHeight="1">
      <c r="A338" s="28"/>
      <c r="B338" s="28"/>
      <c r="C338" s="38"/>
      <c r="D338" s="42"/>
      <c r="E338" s="42"/>
    </row>
    <row r="339" ht="15.0" customHeight="1">
      <c r="A339" s="28"/>
      <c r="B339" s="28"/>
      <c r="C339" s="38"/>
      <c r="D339" s="42"/>
      <c r="E339" s="42"/>
    </row>
    <row r="340" ht="15.0" customHeight="1">
      <c r="A340" s="28"/>
      <c r="B340" s="28"/>
      <c r="C340" s="38"/>
      <c r="D340" s="42"/>
      <c r="E340" s="42"/>
    </row>
    <row r="341" ht="15.0" customHeight="1">
      <c r="A341" s="28"/>
      <c r="B341" s="28"/>
      <c r="C341" s="38"/>
      <c r="D341" s="42"/>
      <c r="E341" s="42"/>
    </row>
    <row r="342" ht="15.0" customHeight="1">
      <c r="A342" s="28"/>
      <c r="B342" s="28"/>
      <c r="C342" s="38"/>
      <c r="D342" s="42"/>
      <c r="E342" s="42"/>
    </row>
    <row r="343" ht="15.0" customHeight="1">
      <c r="A343" s="28"/>
      <c r="B343" s="28"/>
      <c r="C343" s="38"/>
      <c r="D343" s="42"/>
      <c r="E343" s="42"/>
    </row>
    <row r="344" ht="15.0" customHeight="1">
      <c r="A344" s="28"/>
      <c r="B344" s="28"/>
      <c r="C344" s="38"/>
      <c r="D344" s="42"/>
      <c r="E344" s="42"/>
    </row>
    <row r="345" ht="15.0" customHeight="1">
      <c r="A345" s="28"/>
      <c r="B345" s="28"/>
      <c r="C345" s="38"/>
      <c r="D345" s="42"/>
      <c r="E345" s="42"/>
    </row>
    <row r="346" ht="15.0" customHeight="1">
      <c r="A346" s="28"/>
      <c r="B346" s="28"/>
      <c r="C346" s="38"/>
      <c r="D346" s="42"/>
      <c r="E346" s="42"/>
    </row>
    <row r="347" ht="15.0" customHeight="1">
      <c r="A347" s="28"/>
      <c r="B347" s="28"/>
      <c r="C347" s="38"/>
      <c r="D347" s="42"/>
      <c r="E347" s="42"/>
    </row>
    <row r="348" ht="15.0" customHeight="1">
      <c r="A348" s="28"/>
      <c r="B348" s="28"/>
      <c r="C348" s="38"/>
      <c r="D348" s="42"/>
      <c r="E348" s="42"/>
    </row>
    <row r="349" ht="15.0" customHeight="1">
      <c r="A349" s="28"/>
      <c r="B349" s="28"/>
      <c r="C349" s="38"/>
      <c r="D349" s="42"/>
      <c r="E349" s="42"/>
    </row>
    <row r="350" ht="15.0" customHeight="1">
      <c r="A350" s="28"/>
      <c r="B350" s="28"/>
      <c r="C350" s="38"/>
      <c r="D350" s="42"/>
      <c r="E350" s="42"/>
    </row>
    <row r="351" ht="15.0" customHeight="1">
      <c r="A351" s="28"/>
      <c r="B351" s="28"/>
      <c r="C351" s="38"/>
      <c r="D351" s="42"/>
      <c r="E351" s="42"/>
    </row>
    <row r="352" ht="15.0" customHeight="1">
      <c r="A352" s="28"/>
      <c r="B352" s="28"/>
      <c r="C352" s="38"/>
      <c r="D352" s="42"/>
      <c r="E352" s="42"/>
    </row>
    <row r="353" ht="15.0" customHeight="1">
      <c r="A353" s="28"/>
      <c r="B353" s="28"/>
      <c r="C353" s="38"/>
      <c r="D353" s="42"/>
      <c r="E353" s="42"/>
    </row>
    <row r="354" ht="15.0" customHeight="1">
      <c r="A354" s="28"/>
      <c r="B354" s="28"/>
      <c r="C354" s="38"/>
      <c r="D354" s="42"/>
      <c r="E354" s="42"/>
    </row>
    <row r="355" ht="15.0" customHeight="1">
      <c r="A355" s="28"/>
      <c r="B355" s="28"/>
      <c r="C355" s="38"/>
      <c r="D355" s="42"/>
      <c r="E355" s="42"/>
    </row>
    <row r="356" ht="15.0" customHeight="1">
      <c r="A356" s="28"/>
      <c r="B356" s="28"/>
      <c r="C356" s="38"/>
      <c r="D356" s="42"/>
      <c r="E356" s="42"/>
    </row>
    <row r="357" ht="15.0" customHeight="1">
      <c r="A357" s="28"/>
      <c r="B357" s="28"/>
      <c r="C357" s="38"/>
      <c r="D357" s="42"/>
      <c r="E357" s="42"/>
    </row>
    <row r="358" ht="15.0" customHeight="1">
      <c r="A358" s="28"/>
      <c r="B358" s="28"/>
      <c r="C358" s="38"/>
      <c r="D358" s="42"/>
      <c r="E358" s="42"/>
    </row>
    <row r="359" ht="15.0" customHeight="1">
      <c r="A359" s="28"/>
      <c r="B359" s="28"/>
      <c r="C359" s="38"/>
      <c r="D359" s="42"/>
      <c r="E359" s="42"/>
    </row>
    <row r="360" ht="15.0" customHeight="1">
      <c r="A360" s="28"/>
      <c r="B360" s="28"/>
      <c r="C360" s="38"/>
      <c r="D360" s="42"/>
      <c r="E360" s="42"/>
    </row>
    <row r="361" ht="15.0" customHeight="1">
      <c r="A361" s="28"/>
      <c r="B361" s="28"/>
      <c r="C361" s="38"/>
      <c r="D361" s="42"/>
      <c r="E361" s="42"/>
    </row>
    <row r="362" ht="15.0" customHeight="1">
      <c r="A362" s="28"/>
      <c r="B362" s="28"/>
      <c r="C362" s="38"/>
      <c r="D362" s="42"/>
      <c r="E362" s="42"/>
    </row>
    <row r="363" ht="15.0" customHeight="1">
      <c r="A363" s="28"/>
      <c r="B363" s="28"/>
      <c r="C363" s="38"/>
      <c r="D363" s="42"/>
      <c r="E363" s="42"/>
    </row>
    <row r="364" ht="15.0" customHeight="1">
      <c r="A364" s="28"/>
      <c r="B364" s="28"/>
      <c r="C364" s="38"/>
      <c r="D364" s="42"/>
      <c r="E364" s="42"/>
    </row>
    <row r="365" ht="15.0" customHeight="1">
      <c r="A365" s="28"/>
      <c r="B365" s="28"/>
      <c r="C365" s="38"/>
      <c r="D365" s="42"/>
      <c r="E365" s="42"/>
    </row>
    <row r="366" ht="15.0" customHeight="1">
      <c r="A366" s="28"/>
      <c r="B366" s="28"/>
      <c r="C366" s="38"/>
      <c r="D366" s="42"/>
      <c r="E366" s="42"/>
    </row>
    <row r="367" ht="15.0" customHeight="1">
      <c r="A367" s="28"/>
      <c r="B367" s="28"/>
      <c r="C367" s="38"/>
      <c r="D367" s="42"/>
      <c r="E367" s="42"/>
    </row>
    <row r="368" ht="15.0" customHeight="1">
      <c r="A368" s="28"/>
      <c r="B368" s="28"/>
      <c r="C368" s="38"/>
      <c r="D368" s="42"/>
      <c r="E368" s="42"/>
    </row>
    <row r="369" ht="15.0" customHeight="1">
      <c r="A369" s="28"/>
      <c r="B369" s="28"/>
      <c r="C369" s="38"/>
      <c r="D369" s="42"/>
      <c r="E369" s="42"/>
    </row>
    <row r="370" ht="15.0" customHeight="1">
      <c r="A370" s="28"/>
      <c r="B370" s="28"/>
      <c r="C370" s="38"/>
      <c r="D370" s="42"/>
      <c r="E370" s="42"/>
    </row>
    <row r="371" ht="15.0" customHeight="1">
      <c r="A371" s="28"/>
      <c r="B371" s="28"/>
      <c r="C371" s="38"/>
      <c r="D371" s="42"/>
      <c r="E371" s="42"/>
    </row>
    <row r="372" ht="15.0" customHeight="1">
      <c r="A372" s="28"/>
      <c r="B372" s="28"/>
      <c r="C372" s="38"/>
      <c r="D372" s="42"/>
      <c r="E372" s="42"/>
    </row>
    <row r="373" ht="15.0" customHeight="1">
      <c r="A373" s="28"/>
      <c r="B373" s="28"/>
      <c r="C373" s="38"/>
      <c r="D373" s="42"/>
      <c r="E373" s="42"/>
    </row>
    <row r="374" ht="15.0" customHeight="1">
      <c r="A374" s="28"/>
      <c r="B374" s="28"/>
      <c r="C374" s="38"/>
      <c r="D374" s="42"/>
      <c r="E374" s="42"/>
    </row>
    <row r="375" ht="15.0" customHeight="1">
      <c r="A375" s="28"/>
      <c r="B375" s="28"/>
      <c r="C375" s="38"/>
      <c r="D375" s="42"/>
      <c r="E375" s="42"/>
    </row>
    <row r="376" ht="15.0" customHeight="1">
      <c r="A376" s="28"/>
      <c r="B376" s="28"/>
      <c r="C376" s="38"/>
      <c r="D376" s="42"/>
      <c r="E376" s="42"/>
    </row>
    <row r="377" ht="15.0" customHeight="1">
      <c r="A377" s="28"/>
      <c r="B377" s="28"/>
      <c r="C377" s="38"/>
      <c r="D377" s="42"/>
      <c r="E377" s="42"/>
    </row>
    <row r="378" ht="15.0" customHeight="1">
      <c r="A378" s="28"/>
      <c r="B378" s="28"/>
      <c r="C378" s="38"/>
      <c r="D378" s="42"/>
      <c r="E378" s="42"/>
    </row>
    <row r="379" ht="15.0" customHeight="1">
      <c r="A379" s="28"/>
      <c r="B379" s="28"/>
      <c r="C379" s="38"/>
      <c r="D379" s="42"/>
      <c r="E379" s="42"/>
    </row>
    <row r="380" ht="15.0" customHeight="1">
      <c r="A380" s="28"/>
      <c r="B380" s="28"/>
      <c r="C380" s="38"/>
      <c r="D380" s="42"/>
      <c r="E380" s="42"/>
    </row>
    <row r="381" ht="15.0" customHeight="1">
      <c r="A381" s="28"/>
      <c r="B381" s="28"/>
      <c r="C381" s="38"/>
      <c r="D381" s="42"/>
      <c r="E381" s="42"/>
    </row>
    <row r="382" ht="15.0" customHeight="1">
      <c r="A382" s="28"/>
      <c r="B382" s="28"/>
      <c r="C382" s="38"/>
      <c r="D382" s="42"/>
      <c r="E382" s="42"/>
    </row>
    <row r="383" ht="15.0" customHeight="1">
      <c r="A383" s="28"/>
      <c r="B383" s="28"/>
      <c r="C383" s="38"/>
      <c r="D383" s="42"/>
      <c r="E383" s="42"/>
    </row>
    <row r="384" ht="15.0" customHeight="1">
      <c r="A384" s="28"/>
      <c r="B384" s="28"/>
      <c r="C384" s="38"/>
      <c r="D384" s="42"/>
      <c r="E384" s="42"/>
    </row>
    <row r="385" ht="15.0" customHeight="1">
      <c r="A385" s="28"/>
      <c r="B385" s="28"/>
      <c r="C385" s="38"/>
      <c r="D385" s="42"/>
      <c r="E385" s="42"/>
    </row>
    <row r="386" ht="15.0" customHeight="1">
      <c r="A386" s="28"/>
      <c r="B386" s="28"/>
      <c r="C386" s="38"/>
      <c r="D386" s="42"/>
      <c r="E386" s="42"/>
    </row>
    <row r="387" ht="15.0" customHeight="1">
      <c r="A387" s="28"/>
      <c r="B387" s="28"/>
      <c r="C387" s="38"/>
      <c r="D387" s="42"/>
      <c r="E387" s="42"/>
    </row>
    <row r="388" ht="15.0" customHeight="1">
      <c r="A388" s="28"/>
      <c r="B388" s="28"/>
      <c r="C388" s="38"/>
      <c r="D388" s="42"/>
      <c r="E388" s="42"/>
    </row>
    <row r="389" ht="15.0" customHeight="1">
      <c r="A389" s="28"/>
      <c r="B389" s="28"/>
      <c r="C389" s="38"/>
      <c r="D389" s="42"/>
      <c r="E389" s="42"/>
    </row>
    <row r="390" ht="15.0" customHeight="1">
      <c r="A390" s="28"/>
      <c r="B390" s="28"/>
      <c r="C390" s="38"/>
      <c r="D390" s="42"/>
      <c r="E390" s="42"/>
    </row>
    <row r="391" ht="15.0" customHeight="1">
      <c r="A391" s="28"/>
      <c r="B391" s="28"/>
      <c r="C391" s="38"/>
      <c r="D391" s="42"/>
      <c r="E391" s="42"/>
    </row>
    <row r="392" ht="15.0" customHeight="1">
      <c r="A392" s="28"/>
      <c r="B392" s="28"/>
      <c r="C392" s="38"/>
      <c r="D392" s="42"/>
      <c r="E392" s="42"/>
    </row>
    <row r="393" ht="15.0" customHeight="1">
      <c r="A393" s="28"/>
      <c r="B393" s="28"/>
      <c r="C393" s="38"/>
      <c r="D393" s="42"/>
      <c r="E393" s="42"/>
    </row>
    <row r="394" ht="15.0" customHeight="1">
      <c r="A394" s="28"/>
      <c r="B394" s="28"/>
      <c r="C394" s="38"/>
      <c r="D394" s="42"/>
      <c r="E394" s="42"/>
    </row>
    <row r="395" ht="15.0" customHeight="1">
      <c r="A395" s="28"/>
      <c r="B395" s="28"/>
      <c r="C395" s="38"/>
      <c r="D395" s="42"/>
      <c r="E395" s="42"/>
    </row>
    <row r="396" ht="15.0" customHeight="1">
      <c r="A396" s="28"/>
      <c r="B396" s="28"/>
      <c r="C396" s="38"/>
      <c r="D396" s="42"/>
      <c r="E396" s="42"/>
    </row>
    <row r="397" ht="15.0" customHeight="1">
      <c r="A397" s="28"/>
      <c r="B397" s="28"/>
      <c r="C397" s="38"/>
      <c r="D397" s="42"/>
      <c r="E397" s="42"/>
    </row>
    <row r="398" ht="15.0" customHeight="1">
      <c r="A398" s="28"/>
      <c r="B398" s="28"/>
      <c r="C398" s="38"/>
      <c r="D398" s="42"/>
      <c r="E398" s="42"/>
    </row>
    <row r="399" ht="15.0" customHeight="1">
      <c r="A399" s="28"/>
      <c r="B399" s="28"/>
      <c r="C399" s="38"/>
      <c r="D399" s="42"/>
      <c r="E399" s="42"/>
    </row>
    <row r="400" ht="15.0" customHeight="1">
      <c r="A400" s="28"/>
      <c r="B400" s="28"/>
      <c r="C400" s="38"/>
      <c r="D400" s="42"/>
      <c r="E400" s="42"/>
    </row>
    <row r="401" ht="15.0" customHeight="1">
      <c r="A401" s="28"/>
      <c r="B401" s="28"/>
      <c r="C401" s="38"/>
      <c r="D401" s="42"/>
      <c r="E401" s="42"/>
    </row>
    <row r="402" ht="15.0" customHeight="1">
      <c r="A402" s="28"/>
      <c r="B402" s="28"/>
      <c r="C402" s="38"/>
      <c r="D402" s="42"/>
      <c r="E402" s="42"/>
    </row>
    <row r="403" ht="15.0" customHeight="1">
      <c r="A403" s="28"/>
      <c r="B403" s="28"/>
      <c r="C403" s="38"/>
      <c r="D403" s="42"/>
      <c r="E403" s="42"/>
    </row>
    <row r="404" ht="15.0" customHeight="1">
      <c r="A404" s="28"/>
      <c r="B404" s="28"/>
      <c r="C404" s="38"/>
      <c r="D404" s="42"/>
      <c r="E404" s="42"/>
    </row>
    <row r="405" ht="15.0" customHeight="1">
      <c r="A405" s="28"/>
      <c r="B405" s="28"/>
      <c r="C405" s="38"/>
      <c r="D405" s="42"/>
      <c r="E405" s="42"/>
    </row>
    <row r="406" ht="15.0" customHeight="1">
      <c r="A406" s="28"/>
      <c r="B406" s="28"/>
      <c r="C406" s="38"/>
      <c r="D406" s="42"/>
      <c r="E406" s="42"/>
    </row>
    <row r="407" ht="15.0" customHeight="1">
      <c r="A407" s="28"/>
      <c r="B407" s="28"/>
      <c r="C407" s="38"/>
      <c r="D407" s="42"/>
      <c r="E407" s="42"/>
    </row>
    <row r="408" ht="15.0" customHeight="1">
      <c r="A408" s="28"/>
      <c r="B408" s="28"/>
      <c r="C408" s="38"/>
      <c r="D408" s="42"/>
      <c r="E408" s="42"/>
    </row>
    <row r="409" ht="15.0" customHeight="1">
      <c r="A409" s="28"/>
      <c r="B409" s="28"/>
      <c r="C409" s="38"/>
      <c r="D409" s="42"/>
      <c r="E409" s="42"/>
    </row>
    <row r="410" ht="15.0" customHeight="1">
      <c r="A410" s="28"/>
      <c r="B410" s="28"/>
      <c r="C410" s="38"/>
      <c r="D410" s="42"/>
      <c r="E410" s="42"/>
    </row>
    <row r="411" ht="15.0" customHeight="1">
      <c r="A411" s="28"/>
      <c r="B411" s="28"/>
      <c r="C411" s="38"/>
      <c r="D411" s="42"/>
      <c r="E411" s="42"/>
    </row>
    <row r="412" ht="15.0" customHeight="1">
      <c r="A412" s="28"/>
      <c r="B412" s="28"/>
      <c r="C412" s="38"/>
      <c r="D412" s="42"/>
      <c r="E412" s="42"/>
    </row>
    <row r="413" ht="15.0" customHeight="1">
      <c r="A413" s="28"/>
      <c r="B413" s="28"/>
      <c r="C413" s="38"/>
      <c r="D413" s="42"/>
      <c r="E413" s="42"/>
    </row>
    <row r="414" ht="15.0" customHeight="1">
      <c r="A414" s="28"/>
      <c r="B414" s="28"/>
      <c r="C414" s="38"/>
      <c r="D414" s="42"/>
      <c r="E414" s="42"/>
    </row>
    <row r="415" ht="15.0" customHeight="1">
      <c r="A415" s="28"/>
      <c r="B415" s="28"/>
      <c r="C415" s="38"/>
      <c r="D415" s="42"/>
      <c r="E415" s="42"/>
    </row>
    <row r="416" ht="15.0" customHeight="1">
      <c r="A416" s="28"/>
      <c r="B416" s="28"/>
      <c r="C416" s="38"/>
      <c r="D416" s="42"/>
      <c r="E416" s="42"/>
    </row>
    <row r="417" ht="15.0" customHeight="1">
      <c r="A417" s="28"/>
      <c r="B417" s="28"/>
      <c r="C417" s="38"/>
      <c r="D417" s="42"/>
      <c r="E417" s="42"/>
    </row>
    <row r="418" ht="15.0" customHeight="1">
      <c r="A418" s="28"/>
      <c r="B418" s="28"/>
      <c r="C418" s="38"/>
      <c r="D418" s="42"/>
      <c r="E418" s="42"/>
    </row>
    <row r="419" ht="15.0" customHeight="1">
      <c r="A419" s="28"/>
      <c r="B419" s="28"/>
      <c r="C419" s="38"/>
      <c r="D419" s="42"/>
      <c r="E419" s="42"/>
    </row>
    <row r="420" ht="15.0" customHeight="1">
      <c r="A420" s="28"/>
      <c r="B420" s="28"/>
      <c r="C420" s="38"/>
      <c r="D420" s="42"/>
      <c r="E420" s="42"/>
    </row>
    <row r="421" ht="15.0" customHeight="1">
      <c r="A421" s="28"/>
      <c r="B421" s="28"/>
      <c r="C421" s="38"/>
      <c r="D421" s="42"/>
      <c r="E421" s="42"/>
    </row>
    <row r="422" ht="15.0" customHeight="1">
      <c r="A422" s="28"/>
      <c r="B422" s="28"/>
      <c r="C422" s="38"/>
      <c r="D422" s="42"/>
      <c r="E422" s="42"/>
    </row>
    <row r="423" ht="15.0" customHeight="1">
      <c r="A423" s="28"/>
      <c r="B423" s="28"/>
      <c r="C423" s="38"/>
      <c r="D423" s="42"/>
      <c r="E423" s="42"/>
    </row>
    <row r="424" ht="15.0" customHeight="1">
      <c r="A424" s="28"/>
      <c r="B424" s="28"/>
      <c r="C424" s="38"/>
      <c r="D424" s="42"/>
      <c r="E424" s="42"/>
    </row>
    <row r="425" ht="15.0" customHeight="1">
      <c r="A425" s="28"/>
      <c r="B425" s="28"/>
      <c r="C425" s="38"/>
      <c r="D425" s="42"/>
      <c r="E425" s="42"/>
    </row>
    <row r="426" ht="15.0" customHeight="1">
      <c r="A426" s="28"/>
      <c r="B426" s="28"/>
      <c r="C426" s="38"/>
      <c r="D426" s="42"/>
      <c r="E426" s="42"/>
    </row>
    <row r="427" ht="15.0" customHeight="1">
      <c r="A427" s="28"/>
      <c r="B427" s="28"/>
      <c r="C427" s="38"/>
      <c r="D427" s="42"/>
      <c r="E427" s="42"/>
    </row>
    <row r="428" ht="15.0" customHeight="1">
      <c r="A428" s="28"/>
      <c r="B428" s="28"/>
      <c r="C428" s="38"/>
      <c r="D428" s="42"/>
      <c r="E428" s="42"/>
    </row>
    <row r="429" ht="15.0" customHeight="1">
      <c r="A429" s="28"/>
      <c r="B429" s="28"/>
      <c r="C429" s="38"/>
      <c r="D429" s="42"/>
      <c r="E429" s="42"/>
    </row>
    <row r="430" ht="15.0" customHeight="1">
      <c r="A430" s="28"/>
      <c r="B430" s="28"/>
      <c r="C430" s="38"/>
      <c r="D430" s="42"/>
      <c r="E430" s="42"/>
    </row>
    <row r="431" ht="15.0" customHeight="1">
      <c r="A431" s="28"/>
      <c r="B431" s="28"/>
      <c r="C431" s="38"/>
      <c r="D431" s="42"/>
      <c r="E431" s="42"/>
    </row>
    <row r="432" ht="15.0" customHeight="1">
      <c r="A432" s="28"/>
      <c r="B432" s="28"/>
      <c r="C432" s="38"/>
      <c r="D432" s="42"/>
      <c r="E432" s="42"/>
    </row>
    <row r="433" ht="15.0" customHeight="1">
      <c r="A433" s="28"/>
      <c r="B433" s="28"/>
      <c r="C433" s="38"/>
      <c r="D433" s="42"/>
      <c r="E433" s="42"/>
    </row>
    <row r="434" ht="15.0" customHeight="1">
      <c r="A434" s="28"/>
      <c r="B434" s="28"/>
      <c r="C434" s="38"/>
      <c r="D434" s="42"/>
      <c r="E434" s="42"/>
    </row>
    <row r="435" ht="15.0" customHeight="1">
      <c r="A435" s="28"/>
      <c r="B435" s="28"/>
      <c r="C435" s="38"/>
      <c r="D435" s="42"/>
      <c r="E435" s="42"/>
    </row>
    <row r="436" ht="15.0" customHeight="1">
      <c r="A436" s="28"/>
      <c r="B436" s="28"/>
      <c r="C436" s="38"/>
      <c r="D436" s="42"/>
      <c r="E436" s="42"/>
    </row>
    <row r="437" ht="15.0" customHeight="1">
      <c r="A437" s="28"/>
      <c r="B437" s="28"/>
      <c r="C437" s="38"/>
      <c r="D437" s="42"/>
      <c r="E437" s="42"/>
    </row>
    <row r="438" ht="15.0" customHeight="1">
      <c r="A438" s="28"/>
      <c r="B438" s="28"/>
      <c r="C438" s="38"/>
      <c r="D438" s="42"/>
      <c r="E438" s="42"/>
    </row>
    <row r="439" ht="15.0" customHeight="1">
      <c r="A439" s="28"/>
      <c r="B439" s="28"/>
      <c r="C439" s="38"/>
      <c r="D439" s="42"/>
      <c r="E439" s="42"/>
    </row>
    <row r="440" ht="15.0" customHeight="1">
      <c r="A440" s="28"/>
      <c r="B440" s="28"/>
      <c r="C440" s="38"/>
      <c r="D440" s="42"/>
      <c r="E440" s="42"/>
    </row>
    <row r="441" ht="15.0" customHeight="1">
      <c r="A441" s="28"/>
      <c r="B441" s="28"/>
      <c r="C441" s="38"/>
      <c r="D441" s="42"/>
      <c r="E441" s="42"/>
    </row>
    <row r="442" ht="15.0" customHeight="1">
      <c r="A442" s="28"/>
      <c r="B442" s="28"/>
      <c r="C442" s="38"/>
      <c r="D442" s="42"/>
      <c r="E442" s="42"/>
    </row>
    <row r="443" ht="15.0" customHeight="1">
      <c r="A443" s="28"/>
      <c r="B443" s="28"/>
      <c r="C443" s="38"/>
      <c r="D443" s="42"/>
      <c r="E443" s="42"/>
    </row>
    <row r="444" ht="15.0" customHeight="1">
      <c r="A444" s="28"/>
      <c r="B444" s="28"/>
      <c r="C444" s="38"/>
      <c r="D444" s="42"/>
      <c r="E444" s="42"/>
    </row>
    <row r="445" ht="15.0" customHeight="1">
      <c r="A445" s="28"/>
      <c r="B445" s="28"/>
      <c r="C445" s="38"/>
      <c r="D445" s="42"/>
      <c r="E445" s="42"/>
    </row>
    <row r="446" ht="15.0" customHeight="1">
      <c r="A446" s="28"/>
      <c r="B446" s="28"/>
      <c r="C446" s="38"/>
      <c r="D446" s="42"/>
      <c r="E446" s="42"/>
    </row>
    <row r="447" ht="15.0" customHeight="1">
      <c r="A447" s="28"/>
      <c r="B447" s="28"/>
      <c r="C447" s="38"/>
      <c r="D447" s="42"/>
      <c r="E447" s="42"/>
    </row>
    <row r="448" ht="15.0" customHeight="1">
      <c r="A448" s="28"/>
      <c r="B448" s="28"/>
      <c r="C448" s="38"/>
      <c r="D448" s="42"/>
      <c r="E448" s="42"/>
    </row>
    <row r="449" ht="15.0" customHeight="1">
      <c r="A449" s="28"/>
      <c r="B449" s="28"/>
      <c r="C449" s="38"/>
      <c r="D449" s="42"/>
      <c r="E449" s="42"/>
    </row>
    <row r="450" ht="15.0" customHeight="1">
      <c r="A450" s="28"/>
      <c r="B450" s="28"/>
      <c r="C450" s="38"/>
      <c r="D450" s="42"/>
      <c r="E450" s="42"/>
    </row>
    <row r="451" ht="15.0" customHeight="1">
      <c r="A451" s="28"/>
      <c r="B451" s="28"/>
      <c r="C451" s="38"/>
      <c r="D451" s="42"/>
      <c r="E451" s="42"/>
    </row>
    <row r="452" ht="15.0" customHeight="1">
      <c r="A452" s="28"/>
      <c r="B452" s="28"/>
      <c r="C452" s="38"/>
      <c r="D452" s="42"/>
      <c r="E452" s="42"/>
    </row>
    <row r="453" ht="15.0" customHeight="1">
      <c r="A453" s="28"/>
      <c r="B453" s="28"/>
      <c r="C453" s="38"/>
      <c r="D453" s="42"/>
      <c r="E453" s="42"/>
    </row>
    <row r="454" ht="15.0" customHeight="1">
      <c r="A454" s="28"/>
      <c r="B454" s="28"/>
      <c r="C454" s="38"/>
      <c r="D454" s="42"/>
      <c r="E454" s="42"/>
    </row>
    <row r="455" ht="15.0" customHeight="1">
      <c r="A455" s="28"/>
      <c r="B455" s="28"/>
      <c r="C455" s="38"/>
      <c r="D455" s="42"/>
      <c r="E455" s="42"/>
    </row>
    <row r="456" ht="15.0" customHeight="1">
      <c r="A456" s="28"/>
      <c r="B456" s="28"/>
      <c r="C456" s="38"/>
      <c r="D456" s="42"/>
      <c r="E456" s="42"/>
    </row>
    <row r="457" ht="15.0" customHeight="1">
      <c r="A457" s="28"/>
      <c r="B457" s="28"/>
      <c r="C457" s="38"/>
      <c r="D457" s="42"/>
      <c r="E457" s="42"/>
    </row>
    <row r="458" ht="15.0" customHeight="1">
      <c r="A458" s="28"/>
      <c r="B458" s="28"/>
      <c r="C458" s="38"/>
      <c r="D458" s="42"/>
      <c r="E458" s="42"/>
    </row>
    <row r="459" ht="15.0" customHeight="1">
      <c r="A459" s="28"/>
      <c r="B459" s="28"/>
      <c r="C459" s="38"/>
      <c r="D459" s="42"/>
      <c r="E459" s="42"/>
    </row>
    <row r="460" ht="15.0" customHeight="1">
      <c r="A460" s="28"/>
      <c r="B460" s="28"/>
      <c r="C460" s="38"/>
      <c r="D460" s="42"/>
      <c r="E460" s="42"/>
    </row>
    <row r="461" ht="15.0" customHeight="1">
      <c r="A461" s="28"/>
      <c r="B461" s="28"/>
      <c r="C461" s="38"/>
      <c r="D461" s="42"/>
      <c r="E461" s="42"/>
    </row>
    <row r="462" ht="15.0" customHeight="1">
      <c r="A462" s="28"/>
      <c r="B462" s="28"/>
      <c r="C462" s="38"/>
      <c r="D462" s="42"/>
      <c r="E462" s="42"/>
    </row>
    <row r="463" ht="15.0" customHeight="1">
      <c r="A463" s="28"/>
      <c r="B463" s="28"/>
      <c r="C463" s="38"/>
      <c r="D463" s="42"/>
      <c r="E463" s="42"/>
    </row>
    <row r="464" ht="15.0" customHeight="1">
      <c r="A464" s="28"/>
      <c r="B464" s="28"/>
      <c r="C464" s="38"/>
      <c r="D464" s="42"/>
      <c r="E464" s="42"/>
    </row>
    <row r="465" ht="15.0" customHeight="1">
      <c r="A465" s="28"/>
      <c r="B465" s="28"/>
      <c r="C465" s="38"/>
      <c r="D465" s="42"/>
      <c r="E465" s="42"/>
    </row>
    <row r="466" ht="15.0" customHeight="1">
      <c r="A466" s="28"/>
      <c r="B466" s="28"/>
      <c r="C466" s="38"/>
      <c r="D466" s="42"/>
      <c r="E466" s="42"/>
    </row>
    <row r="467" ht="15.0" customHeight="1">
      <c r="A467" s="28"/>
      <c r="B467" s="28"/>
      <c r="C467" s="38"/>
      <c r="D467" s="42"/>
      <c r="E467" s="42"/>
    </row>
    <row r="468" ht="15.0" customHeight="1">
      <c r="A468" s="28"/>
      <c r="B468" s="28"/>
      <c r="C468" s="38"/>
      <c r="D468" s="42"/>
      <c r="E468" s="42"/>
    </row>
    <row r="469" ht="15.0" customHeight="1">
      <c r="A469" s="28"/>
      <c r="B469" s="28"/>
      <c r="C469" s="38"/>
      <c r="D469" s="42"/>
      <c r="E469" s="42"/>
    </row>
    <row r="470" ht="15.0" customHeight="1">
      <c r="A470" s="28"/>
      <c r="B470" s="28"/>
      <c r="C470" s="38"/>
      <c r="D470" s="42"/>
      <c r="E470" s="42"/>
    </row>
    <row r="471" ht="15.0" customHeight="1">
      <c r="A471" s="28"/>
      <c r="B471" s="28"/>
      <c r="C471" s="38"/>
      <c r="D471" s="42"/>
      <c r="E471" s="42"/>
    </row>
    <row r="472" ht="15.0" customHeight="1">
      <c r="A472" s="28"/>
      <c r="B472" s="28"/>
      <c r="C472" s="38"/>
      <c r="D472" s="42"/>
      <c r="E472" s="42"/>
    </row>
    <row r="473" ht="15.0" customHeight="1">
      <c r="A473" s="28"/>
      <c r="B473" s="28"/>
      <c r="C473" s="38"/>
      <c r="D473" s="42"/>
      <c r="E473" s="42"/>
    </row>
    <row r="474" ht="15.0" customHeight="1">
      <c r="A474" s="28"/>
      <c r="B474" s="28"/>
      <c r="C474" s="38"/>
      <c r="D474" s="42"/>
      <c r="E474" s="42"/>
    </row>
    <row r="475" ht="15.0" customHeight="1">
      <c r="A475" s="28"/>
      <c r="B475" s="28"/>
      <c r="C475" s="38"/>
      <c r="D475" s="42"/>
      <c r="E475" s="42"/>
    </row>
    <row r="476" ht="15.0" customHeight="1">
      <c r="A476" s="28"/>
      <c r="B476" s="28"/>
      <c r="C476" s="38"/>
      <c r="D476" s="42"/>
      <c r="E476" s="42"/>
    </row>
    <row r="477" ht="15.0" customHeight="1">
      <c r="A477" s="28"/>
      <c r="B477" s="28"/>
      <c r="C477" s="38"/>
      <c r="D477" s="42"/>
      <c r="E477" s="42"/>
    </row>
    <row r="478" ht="15.0" customHeight="1">
      <c r="A478" s="28"/>
      <c r="B478" s="28"/>
      <c r="C478" s="38"/>
      <c r="D478" s="42"/>
      <c r="E478" s="42"/>
    </row>
    <row r="479" ht="15.0" customHeight="1">
      <c r="A479" s="28"/>
      <c r="B479" s="28"/>
      <c r="C479" s="38"/>
      <c r="D479" s="42"/>
      <c r="E479" s="42"/>
    </row>
    <row r="480" ht="15.0" customHeight="1">
      <c r="A480" s="28"/>
      <c r="B480" s="28"/>
      <c r="C480" s="38"/>
      <c r="D480" s="42"/>
      <c r="E480" s="42"/>
    </row>
    <row r="481" ht="15.0" customHeight="1">
      <c r="A481" s="28"/>
      <c r="B481" s="28"/>
      <c r="C481" s="38"/>
      <c r="D481" s="42"/>
      <c r="E481" s="42"/>
    </row>
    <row r="482" ht="15.0" customHeight="1">
      <c r="A482" s="28"/>
      <c r="B482" s="28"/>
      <c r="C482" s="38"/>
      <c r="D482" s="42"/>
      <c r="E482" s="42"/>
    </row>
    <row r="483" ht="15.0" customHeight="1">
      <c r="A483" s="28"/>
      <c r="B483" s="28"/>
      <c r="C483" s="38"/>
      <c r="D483" s="42"/>
      <c r="E483" s="42"/>
    </row>
    <row r="484" ht="15.0" customHeight="1">
      <c r="A484" s="28"/>
      <c r="B484" s="28"/>
      <c r="C484" s="38"/>
      <c r="D484" s="42"/>
      <c r="E484" s="42"/>
    </row>
    <row r="485" ht="15.0" customHeight="1">
      <c r="A485" s="28"/>
      <c r="B485" s="28"/>
      <c r="C485" s="38"/>
      <c r="D485" s="42"/>
      <c r="E485" s="42"/>
    </row>
    <row r="486" ht="15.0" customHeight="1">
      <c r="A486" s="28"/>
      <c r="B486" s="28"/>
      <c r="C486" s="38"/>
      <c r="D486" s="42"/>
      <c r="E486" s="42"/>
    </row>
    <row r="487" ht="15.0" customHeight="1">
      <c r="A487" s="28"/>
      <c r="B487" s="28"/>
      <c r="C487" s="38"/>
      <c r="D487" s="42"/>
      <c r="E487" s="42"/>
    </row>
    <row r="488" ht="15.0" customHeight="1">
      <c r="A488" s="28"/>
      <c r="B488" s="28"/>
      <c r="C488" s="38"/>
      <c r="D488" s="42"/>
      <c r="E488" s="42"/>
    </row>
    <row r="489" ht="15.0" customHeight="1">
      <c r="A489" s="28"/>
      <c r="B489" s="28"/>
      <c r="C489" s="38"/>
      <c r="D489" s="42"/>
      <c r="E489" s="42"/>
    </row>
    <row r="490" ht="15.0" customHeight="1">
      <c r="A490" s="28"/>
      <c r="B490" s="28"/>
      <c r="C490" s="38"/>
      <c r="D490" s="42"/>
      <c r="E490" s="42"/>
    </row>
    <row r="491" ht="15.0" customHeight="1">
      <c r="A491" s="28"/>
      <c r="B491" s="28"/>
      <c r="C491" s="38"/>
      <c r="D491" s="42"/>
      <c r="E491" s="42"/>
    </row>
    <row r="492" ht="15.0" customHeight="1">
      <c r="A492" s="28"/>
      <c r="B492" s="28"/>
      <c r="C492" s="38"/>
      <c r="D492" s="42"/>
      <c r="E492" s="42"/>
    </row>
    <row r="493" ht="15.0" customHeight="1">
      <c r="A493" s="28"/>
      <c r="B493" s="28"/>
      <c r="C493" s="38"/>
      <c r="D493" s="42"/>
      <c r="E493" s="42"/>
    </row>
    <row r="494" ht="15.0" customHeight="1">
      <c r="A494" s="28"/>
      <c r="B494" s="28"/>
      <c r="C494" s="38"/>
      <c r="D494" s="42"/>
      <c r="E494" s="42"/>
    </row>
    <row r="495" ht="15.0" customHeight="1">
      <c r="A495" s="28"/>
      <c r="B495" s="28"/>
      <c r="C495" s="38"/>
      <c r="D495" s="42"/>
      <c r="E495" s="42"/>
    </row>
    <row r="496" ht="15.0" customHeight="1">
      <c r="A496" s="28"/>
      <c r="B496" s="28"/>
      <c r="C496" s="38"/>
      <c r="D496" s="42"/>
      <c r="E496" s="42"/>
    </row>
    <row r="497" ht="15.0" customHeight="1">
      <c r="A497" s="28"/>
      <c r="B497" s="28"/>
      <c r="C497" s="38"/>
      <c r="D497" s="42"/>
      <c r="E497" s="42"/>
    </row>
    <row r="498" ht="15.0" customHeight="1">
      <c r="A498" s="28"/>
      <c r="B498" s="28"/>
      <c r="C498" s="38"/>
      <c r="D498" s="42"/>
      <c r="E498" s="42"/>
    </row>
    <row r="499" ht="15.0" customHeight="1">
      <c r="A499" s="28"/>
      <c r="B499" s="28"/>
      <c r="C499" s="38"/>
      <c r="D499" s="42"/>
      <c r="E499" s="42"/>
    </row>
    <row r="500" ht="15.0" customHeight="1">
      <c r="A500" s="28"/>
      <c r="B500" s="28"/>
      <c r="C500" s="38"/>
      <c r="D500" s="42"/>
      <c r="E500" s="42"/>
    </row>
    <row r="501" ht="15.0" customHeight="1">
      <c r="A501" s="28"/>
      <c r="B501" s="28"/>
      <c r="C501" s="38"/>
      <c r="D501" s="42"/>
      <c r="E501" s="42"/>
    </row>
    <row r="502" ht="15.0" customHeight="1">
      <c r="A502" s="28"/>
      <c r="B502" s="28"/>
      <c r="C502" s="38"/>
      <c r="D502" s="42"/>
      <c r="E502" s="42"/>
    </row>
    <row r="503" ht="15.0" customHeight="1">
      <c r="A503" s="28"/>
      <c r="B503" s="28"/>
      <c r="C503" s="38"/>
      <c r="D503" s="42"/>
      <c r="E503" s="42"/>
    </row>
    <row r="504" ht="15.0" customHeight="1">
      <c r="A504" s="28"/>
      <c r="B504" s="28"/>
      <c r="C504" s="38"/>
      <c r="D504" s="42"/>
      <c r="E504" s="42"/>
    </row>
    <row r="505" ht="15.0" customHeight="1">
      <c r="A505" s="28"/>
      <c r="B505" s="28"/>
      <c r="C505" s="38"/>
      <c r="D505" s="42"/>
      <c r="E505" s="42"/>
    </row>
    <row r="506" ht="15.0" customHeight="1">
      <c r="A506" s="28"/>
      <c r="B506" s="28"/>
      <c r="C506" s="38"/>
      <c r="D506" s="42"/>
      <c r="E506" s="42"/>
    </row>
    <row r="507" ht="15.0" customHeight="1">
      <c r="A507" s="28"/>
      <c r="B507" s="28"/>
      <c r="C507" s="38"/>
      <c r="D507" s="42"/>
      <c r="E507" s="42"/>
    </row>
    <row r="508" ht="15.0" customHeight="1">
      <c r="A508" s="28"/>
      <c r="B508" s="28"/>
      <c r="C508" s="38"/>
      <c r="D508" s="42"/>
      <c r="E508" s="42"/>
    </row>
    <row r="509" ht="15.0" customHeight="1">
      <c r="A509" s="28"/>
      <c r="B509" s="28"/>
      <c r="C509" s="38"/>
      <c r="D509" s="42"/>
      <c r="E509" s="42"/>
    </row>
    <row r="510" ht="15.0" customHeight="1">
      <c r="A510" s="28"/>
      <c r="B510" s="28"/>
      <c r="C510" s="38"/>
      <c r="D510" s="42"/>
      <c r="E510" s="42"/>
    </row>
    <row r="511" ht="15.0" customHeight="1">
      <c r="A511" s="28"/>
      <c r="B511" s="28"/>
      <c r="C511" s="38"/>
      <c r="D511" s="42"/>
      <c r="E511" s="42"/>
    </row>
    <row r="512" ht="15.0" customHeight="1">
      <c r="A512" s="28"/>
      <c r="B512" s="28"/>
      <c r="C512" s="38"/>
      <c r="D512" s="42"/>
      <c r="E512" s="42"/>
    </row>
    <row r="513" ht="15.0" customHeight="1">
      <c r="A513" s="28"/>
      <c r="B513" s="28"/>
      <c r="C513" s="38"/>
      <c r="D513" s="42"/>
      <c r="E513" s="42"/>
    </row>
    <row r="514" ht="15.0" customHeight="1">
      <c r="A514" s="28"/>
      <c r="B514" s="28"/>
      <c r="C514" s="38"/>
      <c r="D514" s="42"/>
      <c r="E514" s="42"/>
    </row>
    <row r="515" ht="15.0" customHeight="1">
      <c r="A515" s="28"/>
      <c r="B515" s="28"/>
      <c r="C515" s="38"/>
      <c r="D515" s="42"/>
      <c r="E515" s="42"/>
    </row>
    <row r="516" ht="15.0" customHeight="1">
      <c r="A516" s="28"/>
      <c r="B516" s="28"/>
      <c r="C516" s="38"/>
      <c r="D516" s="42"/>
      <c r="E516" s="42"/>
    </row>
    <row r="517" ht="15.0" customHeight="1">
      <c r="A517" s="28"/>
      <c r="B517" s="28"/>
      <c r="C517" s="38"/>
      <c r="D517" s="42"/>
      <c r="E517" s="42"/>
    </row>
    <row r="518" ht="15.0" customHeight="1">
      <c r="A518" s="28"/>
      <c r="B518" s="28"/>
      <c r="C518" s="38"/>
      <c r="D518" s="42"/>
      <c r="E518" s="42"/>
    </row>
    <row r="519" ht="15.0" customHeight="1">
      <c r="A519" s="28"/>
      <c r="B519" s="28"/>
      <c r="C519" s="38"/>
      <c r="D519" s="42"/>
      <c r="E519" s="42"/>
    </row>
    <row r="520" ht="15.0" customHeight="1">
      <c r="A520" s="28"/>
      <c r="B520" s="28"/>
      <c r="C520" s="38"/>
      <c r="D520" s="42"/>
      <c r="E520" s="42"/>
    </row>
    <row r="521" ht="15.0" customHeight="1">
      <c r="A521" s="28"/>
      <c r="B521" s="28"/>
      <c r="C521" s="38"/>
      <c r="D521" s="42"/>
      <c r="E521" s="42"/>
    </row>
    <row r="522" ht="15.0" customHeight="1">
      <c r="A522" s="28"/>
      <c r="B522" s="28"/>
      <c r="C522" s="38"/>
      <c r="D522" s="42"/>
      <c r="E522" s="42"/>
    </row>
    <row r="523" ht="15.0" customHeight="1">
      <c r="A523" s="28"/>
      <c r="B523" s="28"/>
      <c r="C523" s="38"/>
      <c r="D523" s="42"/>
      <c r="E523" s="42"/>
    </row>
    <row r="524" ht="15.0" customHeight="1">
      <c r="A524" s="28"/>
      <c r="B524" s="28"/>
      <c r="C524" s="38"/>
      <c r="D524" s="42"/>
      <c r="E524" s="42"/>
    </row>
    <row r="525" ht="15.0" customHeight="1">
      <c r="A525" s="28"/>
      <c r="B525" s="28"/>
      <c r="C525" s="38"/>
      <c r="D525" s="42"/>
      <c r="E525" s="42"/>
    </row>
    <row r="526" ht="15.0" customHeight="1">
      <c r="A526" s="28"/>
      <c r="B526" s="28"/>
      <c r="C526" s="38"/>
      <c r="D526" s="42"/>
      <c r="E526" s="42"/>
    </row>
    <row r="527" ht="15.0" customHeight="1">
      <c r="A527" s="28"/>
      <c r="B527" s="28"/>
      <c r="C527" s="38"/>
      <c r="D527" s="42"/>
      <c r="E527" s="42"/>
    </row>
    <row r="528" ht="15.0" customHeight="1">
      <c r="A528" s="28"/>
      <c r="B528" s="28"/>
      <c r="C528" s="38"/>
      <c r="D528" s="42"/>
      <c r="E528" s="42"/>
    </row>
    <row r="529" ht="15.0" customHeight="1">
      <c r="A529" s="28"/>
      <c r="B529" s="28"/>
      <c r="C529" s="38"/>
      <c r="D529" s="42"/>
      <c r="E529" s="42"/>
    </row>
    <row r="530" ht="15.0" customHeight="1">
      <c r="A530" s="28"/>
      <c r="B530" s="28"/>
      <c r="C530" s="38"/>
      <c r="D530" s="42"/>
      <c r="E530" s="42"/>
    </row>
    <row r="531" ht="15.0" customHeight="1">
      <c r="A531" s="28"/>
      <c r="B531" s="28"/>
      <c r="C531" s="38"/>
      <c r="D531" s="42"/>
      <c r="E531" s="42"/>
    </row>
    <row r="532" ht="15.0" customHeight="1">
      <c r="A532" s="28"/>
      <c r="B532" s="28"/>
      <c r="C532" s="38"/>
      <c r="D532" s="42"/>
      <c r="E532" s="42"/>
    </row>
    <row r="533" ht="15.0" customHeight="1">
      <c r="A533" s="28"/>
      <c r="B533" s="28"/>
      <c r="C533" s="38"/>
      <c r="D533" s="42"/>
      <c r="E533" s="42"/>
    </row>
    <row r="534" ht="15.0" customHeight="1">
      <c r="A534" s="28"/>
      <c r="B534" s="28"/>
      <c r="C534" s="38"/>
      <c r="D534" s="42"/>
      <c r="E534" s="42"/>
    </row>
    <row r="535" ht="15.0" customHeight="1">
      <c r="A535" s="28"/>
      <c r="B535" s="28"/>
      <c r="C535" s="38"/>
      <c r="D535" s="42"/>
      <c r="E535" s="42"/>
    </row>
    <row r="536" ht="15.0" customHeight="1">
      <c r="A536" s="28"/>
      <c r="B536" s="28"/>
      <c r="C536" s="38"/>
      <c r="D536" s="42"/>
      <c r="E536" s="42"/>
    </row>
    <row r="537" ht="15.0" customHeight="1">
      <c r="A537" s="28"/>
      <c r="B537" s="28"/>
      <c r="C537" s="38"/>
      <c r="D537" s="42"/>
      <c r="E537" s="42"/>
    </row>
    <row r="538" ht="15.0" customHeight="1">
      <c r="A538" s="28"/>
      <c r="B538" s="28"/>
      <c r="C538" s="38"/>
      <c r="D538" s="42"/>
      <c r="E538" s="42"/>
    </row>
    <row r="539" ht="15.0" customHeight="1">
      <c r="A539" s="28"/>
      <c r="B539" s="28"/>
      <c r="C539" s="38"/>
      <c r="D539" s="42"/>
      <c r="E539" s="42"/>
    </row>
    <row r="540" ht="15.0" customHeight="1">
      <c r="A540" s="28"/>
      <c r="B540" s="28"/>
      <c r="C540" s="38"/>
      <c r="D540" s="42"/>
      <c r="E540" s="42"/>
    </row>
    <row r="541" ht="15.0" customHeight="1">
      <c r="A541" s="28"/>
      <c r="B541" s="28"/>
      <c r="C541" s="38"/>
      <c r="D541" s="42"/>
      <c r="E541" s="42"/>
    </row>
    <row r="542" ht="15.0" customHeight="1">
      <c r="A542" s="28"/>
      <c r="B542" s="28"/>
      <c r="C542" s="38"/>
      <c r="D542" s="42"/>
      <c r="E542" s="42"/>
    </row>
    <row r="543" ht="15.0" customHeight="1">
      <c r="A543" s="28"/>
      <c r="B543" s="28"/>
      <c r="C543" s="38"/>
      <c r="D543" s="42"/>
      <c r="E543" s="42"/>
    </row>
    <row r="544" ht="15.0" customHeight="1">
      <c r="A544" s="28"/>
      <c r="B544" s="28"/>
      <c r="C544" s="38"/>
      <c r="D544" s="42"/>
      <c r="E544" s="42"/>
    </row>
    <row r="545" ht="15.0" customHeight="1">
      <c r="A545" s="28"/>
      <c r="B545" s="28"/>
      <c r="C545" s="38"/>
      <c r="D545" s="42"/>
      <c r="E545" s="42"/>
    </row>
    <row r="546" ht="15.0" customHeight="1">
      <c r="A546" s="28"/>
      <c r="B546" s="28"/>
      <c r="C546" s="38"/>
      <c r="D546" s="42"/>
      <c r="E546" s="42"/>
    </row>
    <row r="547" ht="15.0" customHeight="1">
      <c r="A547" s="28"/>
      <c r="B547" s="28"/>
      <c r="C547" s="38"/>
      <c r="D547" s="42"/>
      <c r="E547" s="42"/>
    </row>
    <row r="548" ht="15.0" customHeight="1">
      <c r="A548" s="28"/>
      <c r="B548" s="28"/>
      <c r="C548" s="38"/>
      <c r="D548" s="42"/>
      <c r="E548" s="42"/>
    </row>
    <row r="549" ht="15.0" customHeight="1">
      <c r="A549" s="28"/>
      <c r="B549" s="28"/>
      <c r="C549" s="38"/>
      <c r="D549" s="42"/>
      <c r="E549" s="42"/>
    </row>
    <row r="550" ht="15.0" customHeight="1">
      <c r="A550" s="28"/>
      <c r="B550" s="28"/>
      <c r="C550" s="38"/>
      <c r="D550" s="42"/>
      <c r="E550" s="42"/>
    </row>
    <row r="551" ht="15.0" customHeight="1">
      <c r="A551" s="28"/>
      <c r="B551" s="28"/>
      <c r="C551" s="38"/>
      <c r="D551" s="42"/>
      <c r="E551" s="42"/>
    </row>
    <row r="552" ht="15.0" customHeight="1">
      <c r="A552" s="28"/>
      <c r="B552" s="28"/>
      <c r="C552" s="38"/>
      <c r="D552" s="42"/>
      <c r="E552" s="42"/>
    </row>
    <row r="553" ht="15.0" customHeight="1">
      <c r="A553" s="28"/>
      <c r="B553" s="28"/>
      <c r="C553" s="38"/>
      <c r="D553" s="42"/>
      <c r="E553" s="42"/>
    </row>
    <row r="554" ht="15.0" customHeight="1">
      <c r="A554" s="28"/>
      <c r="B554" s="28"/>
      <c r="C554" s="38"/>
      <c r="D554" s="42"/>
      <c r="E554" s="42"/>
    </row>
    <row r="555" ht="15.0" customHeight="1">
      <c r="A555" s="28"/>
      <c r="B555" s="28"/>
      <c r="C555" s="38"/>
      <c r="D555" s="42"/>
      <c r="E555" s="42"/>
    </row>
    <row r="556" ht="15.0" customHeight="1">
      <c r="A556" s="28"/>
      <c r="B556" s="28"/>
      <c r="C556" s="38"/>
      <c r="D556" s="42"/>
      <c r="E556" s="42"/>
    </row>
    <row r="557" ht="15.0" customHeight="1">
      <c r="A557" s="28"/>
      <c r="B557" s="28"/>
      <c r="C557" s="38"/>
      <c r="D557" s="42"/>
      <c r="E557" s="42"/>
    </row>
    <row r="558" ht="15.0" customHeight="1">
      <c r="A558" s="28"/>
      <c r="B558" s="28"/>
      <c r="C558" s="38"/>
      <c r="D558" s="42"/>
      <c r="E558" s="42"/>
    </row>
    <row r="559" ht="15.0" customHeight="1">
      <c r="A559" s="28"/>
      <c r="B559" s="28"/>
      <c r="C559" s="38"/>
      <c r="D559" s="42"/>
      <c r="E559" s="42"/>
    </row>
    <row r="560" ht="15.0" customHeight="1">
      <c r="A560" s="28"/>
      <c r="B560" s="28"/>
      <c r="C560" s="38"/>
      <c r="D560" s="42"/>
      <c r="E560" s="42"/>
    </row>
    <row r="561" ht="15.0" customHeight="1">
      <c r="A561" s="28"/>
      <c r="B561" s="28"/>
      <c r="C561" s="38"/>
      <c r="D561" s="42"/>
      <c r="E561" s="42"/>
    </row>
    <row r="562" ht="15.0" customHeight="1">
      <c r="A562" s="28"/>
      <c r="B562" s="28"/>
      <c r="C562" s="38"/>
      <c r="D562" s="42"/>
      <c r="E562" s="42"/>
    </row>
    <row r="563" ht="15.0" customHeight="1">
      <c r="A563" s="28"/>
      <c r="B563" s="28"/>
      <c r="C563" s="38"/>
      <c r="D563" s="42"/>
      <c r="E563" s="42"/>
    </row>
    <row r="564" ht="15.0" customHeight="1">
      <c r="A564" s="28"/>
      <c r="B564" s="28"/>
      <c r="C564" s="38"/>
      <c r="D564" s="42"/>
      <c r="E564" s="42"/>
    </row>
    <row r="565" ht="15.0" customHeight="1">
      <c r="A565" s="28"/>
      <c r="B565" s="28"/>
      <c r="C565" s="38"/>
      <c r="D565" s="42"/>
      <c r="E565" s="42"/>
    </row>
    <row r="566" ht="15.0" customHeight="1">
      <c r="A566" s="28"/>
      <c r="B566" s="28"/>
      <c r="C566" s="38"/>
      <c r="D566" s="42"/>
      <c r="E566" s="42"/>
    </row>
    <row r="567" ht="15.0" customHeight="1">
      <c r="A567" s="28"/>
      <c r="B567" s="28"/>
      <c r="C567" s="38"/>
      <c r="D567" s="42"/>
      <c r="E567" s="42"/>
    </row>
    <row r="568" ht="15.0" customHeight="1">
      <c r="A568" s="28"/>
      <c r="B568" s="28"/>
      <c r="C568" s="38"/>
      <c r="D568" s="42"/>
      <c r="E568" s="42"/>
    </row>
    <row r="569" ht="15.0" customHeight="1">
      <c r="A569" s="28"/>
      <c r="B569" s="28"/>
      <c r="C569" s="38"/>
      <c r="D569" s="42"/>
      <c r="E569" s="42"/>
    </row>
    <row r="570" ht="15.0" customHeight="1">
      <c r="A570" s="28"/>
      <c r="B570" s="28"/>
      <c r="C570" s="38"/>
      <c r="D570" s="42"/>
      <c r="E570" s="42"/>
    </row>
    <row r="571" ht="15.0" customHeight="1">
      <c r="A571" s="28"/>
      <c r="B571" s="28"/>
      <c r="C571" s="38"/>
      <c r="D571" s="42"/>
      <c r="E571" s="42"/>
    </row>
    <row r="572" ht="15.0" customHeight="1">
      <c r="A572" s="28"/>
      <c r="B572" s="28"/>
      <c r="C572" s="38"/>
      <c r="D572" s="42"/>
      <c r="E572" s="42"/>
    </row>
    <row r="573" ht="15.0" customHeight="1">
      <c r="A573" s="28"/>
      <c r="B573" s="28"/>
      <c r="C573" s="38"/>
      <c r="D573" s="42"/>
      <c r="E573" s="42"/>
    </row>
    <row r="574" ht="15.0" customHeight="1">
      <c r="A574" s="28"/>
      <c r="B574" s="28"/>
      <c r="C574" s="38"/>
      <c r="D574" s="42"/>
      <c r="E574" s="42"/>
    </row>
    <row r="575" ht="15.0" customHeight="1">
      <c r="A575" s="28"/>
      <c r="B575" s="28"/>
      <c r="C575" s="38"/>
      <c r="D575" s="42"/>
      <c r="E575" s="42"/>
    </row>
    <row r="576" ht="15.0" customHeight="1">
      <c r="A576" s="28"/>
      <c r="B576" s="28"/>
      <c r="C576" s="38"/>
      <c r="D576" s="42"/>
      <c r="E576" s="42"/>
    </row>
    <row r="577" ht="15.0" customHeight="1">
      <c r="A577" s="28"/>
      <c r="B577" s="28"/>
      <c r="C577" s="38"/>
      <c r="D577" s="42"/>
      <c r="E577" s="42"/>
    </row>
    <row r="578" ht="15.0" customHeight="1">
      <c r="A578" s="28"/>
      <c r="B578" s="28"/>
      <c r="C578" s="38"/>
      <c r="D578" s="42"/>
      <c r="E578" s="42"/>
    </row>
    <row r="579" ht="15.0" customHeight="1">
      <c r="A579" s="28"/>
      <c r="B579" s="28"/>
      <c r="C579" s="38"/>
      <c r="D579" s="42"/>
      <c r="E579" s="42"/>
    </row>
    <row r="580" ht="15.0" customHeight="1">
      <c r="A580" s="28"/>
      <c r="B580" s="28"/>
      <c r="C580" s="38"/>
      <c r="D580" s="42"/>
      <c r="E580" s="42"/>
    </row>
    <row r="581" ht="15.0" customHeight="1">
      <c r="A581" s="28"/>
      <c r="B581" s="28"/>
      <c r="C581" s="38"/>
      <c r="D581" s="42"/>
      <c r="E581" s="42"/>
    </row>
    <row r="582" ht="15.0" customHeight="1">
      <c r="A582" s="28"/>
      <c r="B582" s="28"/>
      <c r="C582" s="38"/>
      <c r="D582" s="42"/>
      <c r="E582" s="42"/>
    </row>
    <row r="583" ht="15.0" customHeight="1">
      <c r="A583" s="28"/>
      <c r="B583" s="28"/>
      <c r="C583" s="38"/>
      <c r="D583" s="42"/>
      <c r="E583" s="42"/>
    </row>
    <row r="584" ht="15.0" customHeight="1">
      <c r="A584" s="28"/>
      <c r="B584" s="28"/>
      <c r="C584" s="38"/>
      <c r="D584" s="42"/>
      <c r="E584" s="42"/>
    </row>
    <row r="585" ht="15.0" customHeight="1">
      <c r="A585" s="28"/>
      <c r="B585" s="28"/>
      <c r="C585" s="38"/>
      <c r="D585" s="42"/>
      <c r="E585" s="42"/>
    </row>
    <row r="586" ht="15.0" customHeight="1">
      <c r="A586" s="28"/>
      <c r="B586" s="28"/>
      <c r="C586" s="38"/>
      <c r="D586" s="42"/>
      <c r="E586" s="42"/>
    </row>
    <row r="587" ht="15.0" customHeight="1">
      <c r="A587" s="28"/>
      <c r="B587" s="28"/>
      <c r="C587" s="38"/>
      <c r="D587" s="42"/>
      <c r="E587" s="42"/>
    </row>
    <row r="588" ht="15.0" customHeight="1">
      <c r="A588" s="28"/>
      <c r="B588" s="28"/>
      <c r="C588" s="38"/>
      <c r="D588" s="42"/>
      <c r="E588" s="42"/>
    </row>
    <row r="589" ht="15.0" customHeight="1">
      <c r="A589" s="28"/>
      <c r="B589" s="28"/>
      <c r="C589" s="38"/>
      <c r="D589" s="42"/>
      <c r="E589" s="42"/>
    </row>
    <row r="590" ht="15.0" customHeight="1">
      <c r="A590" s="28"/>
      <c r="B590" s="28"/>
      <c r="C590" s="38"/>
      <c r="D590" s="42"/>
      <c r="E590" s="42"/>
    </row>
    <row r="591" ht="15.0" customHeight="1">
      <c r="A591" s="28"/>
      <c r="B591" s="28"/>
      <c r="C591" s="38"/>
      <c r="D591" s="42"/>
      <c r="E591" s="42"/>
    </row>
    <row r="592" ht="15.0" customHeight="1">
      <c r="A592" s="28"/>
      <c r="B592" s="28"/>
      <c r="C592" s="38"/>
      <c r="D592" s="42"/>
      <c r="E592" s="42"/>
    </row>
    <row r="593" ht="15.0" customHeight="1">
      <c r="A593" s="28"/>
      <c r="B593" s="28"/>
      <c r="C593" s="38"/>
      <c r="D593" s="42"/>
      <c r="E593" s="42"/>
    </row>
    <row r="594" ht="15.0" customHeight="1">
      <c r="A594" s="28"/>
      <c r="B594" s="28"/>
      <c r="C594" s="38"/>
      <c r="D594" s="42"/>
      <c r="E594" s="42"/>
    </row>
    <row r="595" ht="15.0" customHeight="1">
      <c r="A595" s="28"/>
      <c r="B595" s="28"/>
      <c r="C595" s="38"/>
      <c r="D595" s="42"/>
      <c r="E595" s="42"/>
    </row>
    <row r="596" ht="15.0" customHeight="1">
      <c r="A596" s="28"/>
      <c r="B596" s="28"/>
      <c r="C596" s="38"/>
      <c r="D596" s="42"/>
      <c r="E596" s="42"/>
    </row>
    <row r="597" ht="15.0" customHeight="1">
      <c r="A597" s="28"/>
      <c r="B597" s="28"/>
      <c r="C597" s="38"/>
      <c r="D597" s="42"/>
      <c r="E597" s="42"/>
    </row>
    <row r="598" ht="15.0" customHeight="1">
      <c r="A598" s="28"/>
      <c r="B598" s="28"/>
      <c r="C598" s="38"/>
      <c r="D598" s="42"/>
      <c r="E598" s="42"/>
    </row>
    <row r="599" ht="15.0" customHeight="1">
      <c r="A599" s="28"/>
      <c r="B599" s="28"/>
      <c r="C599" s="38"/>
      <c r="D599" s="42"/>
      <c r="E599" s="42"/>
    </row>
    <row r="600" ht="15.0" customHeight="1">
      <c r="A600" s="28"/>
      <c r="B600" s="28"/>
      <c r="C600" s="38"/>
      <c r="D600" s="42"/>
      <c r="E600" s="42"/>
    </row>
    <row r="601" ht="15.0" customHeight="1">
      <c r="A601" s="28"/>
      <c r="B601" s="28"/>
      <c r="C601" s="38"/>
      <c r="D601" s="42"/>
      <c r="E601" s="42"/>
    </row>
    <row r="602" ht="15.0" customHeight="1">
      <c r="A602" s="28"/>
      <c r="B602" s="28"/>
      <c r="C602" s="38"/>
      <c r="D602" s="42"/>
      <c r="E602" s="42"/>
    </row>
    <row r="603" ht="15.0" customHeight="1">
      <c r="A603" s="28"/>
      <c r="B603" s="28"/>
      <c r="C603" s="38"/>
      <c r="D603" s="42"/>
      <c r="E603" s="42"/>
    </row>
    <row r="604" ht="15.0" customHeight="1">
      <c r="A604" s="28"/>
      <c r="B604" s="28"/>
      <c r="C604" s="38"/>
      <c r="D604" s="42"/>
      <c r="E604" s="42"/>
    </row>
    <row r="605" ht="15.0" customHeight="1">
      <c r="A605" s="28"/>
      <c r="B605" s="28"/>
      <c r="C605" s="38"/>
      <c r="D605" s="42"/>
      <c r="E605" s="42"/>
    </row>
    <row r="606" ht="15.0" customHeight="1">
      <c r="A606" s="28"/>
      <c r="B606" s="28"/>
      <c r="C606" s="38"/>
      <c r="D606" s="42"/>
      <c r="E606" s="42"/>
    </row>
    <row r="607" ht="15.0" customHeight="1">
      <c r="A607" s="28"/>
      <c r="B607" s="28"/>
      <c r="C607" s="38"/>
      <c r="D607" s="42"/>
      <c r="E607" s="42"/>
    </row>
    <row r="608" ht="15.0" customHeight="1">
      <c r="A608" s="28"/>
      <c r="B608" s="28"/>
      <c r="C608" s="38"/>
      <c r="D608" s="42"/>
      <c r="E608" s="42"/>
    </row>
    <row r="609" ht="15.0" customHeight="1">
      <c r="A609" s="28"/>
      <c r="B609" s="28"/>
      <c r="C609" s="38"/>
      <c r="D609" s="42"/>
      <c r="E609" s="42"/>
    </row>
    <row r="610" ht="15.0" customHeight="1">
      <c r="A610" s="28"/>
      <c r="B610" s="28"/>
      <c r="C610" s="38"/>
      <c r="D610" s="42"/>
      <c r="E610" s="42"/>
    </row>
    <row r="611" ht="15.0" customHeight="1">
      <c r="A611" s="28"/>
      <c r="B611" s="28"/>
      <c r="C611" s="38"/>
      <c r="D611" s="42"/>
      <c r="E611" s="42"/>
    </row>
    <row r="612" ht="15.0" customHeight="1">
      <c r="A612" s="28"/>
      <c r="B612" s="28"/>
      <c r="C612" s="38"/>
      <c r="D612" s="42"/>
      <c r="E612" s="42"/>
    </row>
    <row r="613" ht="15.0" customHeight="1">
      <c r="A613" s="28"/>
      <c r="B613" s="28"/>
      <c r="C613" s="38"/>
      <c r="D613" s="42"/>
      <c r="E613" s="42"/>
    </row>
    <row r="614" ht="15.0" customHeight="1">
      <c r="A614" s="28"/>
      <c r="B614" s="28"/>
      <c r="C614" s="38"/>
      <c r="D614" s="42"/>
      <c r="E614" s="42"/>
    </row>
    <row r="615" ht="15.0" customHeight="1">
      <c r="A615" s="28"/>
      <c r="B615" s="28"/>
      <c r="C615" s="38"/>
      <c r="D615" s="42"/>
      <c r="E615" s="42"/>
    </row>
    <row r="616" ht="15.0" customHeight="1">
      <c r="A616" s="28"/>
      <c r="B616" s="28"/>
      <c r="C616" s="38"/>
      <c r="D616" s="42"/>
      <c r="E616" s="42"/>
    </row>
    <row r="617" ht="15.0" customHeight="1">
      <c r="A617" s="28"/>
      <c r="B617" s="28"/>
      <c r="C617" s="38"/>
      <c r="D617" s="42"/>
      <c r="E617" s="42"/>
    </row>
    <row r="618" ht="15.0" customHeight="1">
      <c r="A618" s="28"/>
      <c r="B618" s="28"/>
      <c r="C618" s="38"/>
      <c r="D618" s="42"/>
      <c r="E618" s="42"/>
    </row>
    <row r="619" ht="15.0" customHeight="1">
      <c r="A619" s="28"/>
      <c r="B619" s="28"/>
      <c r="C619" s="38"/>
      <c r="D619" s="42"/>
      <c r="E619" s="42"/>
    </row>
    <row r="620" ht="15.0" customHeight="1">
      <c r="A620" s="28"/>
      <c r="B620" s="28"/>
      <c r="C620" s="38"/>
      <c r="D620" s="42"/>
      <c r="E620" s="42"/>
    </row>
    <row r="621" ht="15.0" customHeight="1">
      <c r="A621" s="28"/>
      <c r="B621" s="28"/>
      <c r="C621" s="38"/>
      <c r="D621" s="42"/>
      <c r="E621" s="42"/>
    </row>
    <row r="622" ht="15.0" customHeight="1">
      <c r="A622" s="28"/>
      <c r="B622" s="28"/>
      <c r="C622" s="38"/>
      <c r="D622" s="42"/>
      <c r="E622" s="42"/>
    </row>
    <row r="623" ht="15.0" customHeight="1">
      <c r="A623" s="28"/>
      <c r="B623" s="28"/>
      <c r="C623" s="38"/>
      <c r="D623" s="42"/>
      <c r="E623" s="42"/>
    </row>
    <row r="624" ht="15.0" customHeight="1">
      <c r="A624" s="28"/>
      <c r="B624" s="28"/>
      <c r="C624" s="38"/>
      <c r="D624" s="42"/>
      <c r="E624" s="42"/>
    </row>
    <row r="625" ht="15.0" customHeight="1">
      <c r="A625" s="28"/>
      <c r="B625" s="28"/>
      <c r="C625" s="38"/>
      <c r="D625" s="42"/>
      <c r="E625" s="42"/>
    </row>
    <row r="626" ht="15.0" customHeight="1">
      <c r="A626" s="28"/>
      <c r="B626" s="28"/>
      <c r="C626" s="38"/>
      <c r="D626" s="42"/>
      <c r="E626" s="42"/>
    </row>
    <row r="627" ht="15.0" customHeight="1">
      <c r="A627" s="28"/>
      <c r="B627" s="28"/>
      <c r="C627" s="38"/>
      <c r="D627" s="42"/>
      <c r="E627" s="42"/>
    </row>
    <row r="628" ht="15.0" customHeight="1">
      <c r="A628" s="28"/>
      <c r="B628" s="28"/>
      <c r="C628" s="38"/>
      <c r="D628" s="42"/>
      <c r="E628" s="42"/>
    </row>
    <row r="629" ht="15.0" customHeight="1">
      <c r="A629" s="28"/>
      <c r="B629" s="28"/>
      <c r="C629" s="38"/>
      <c r="D629" s="42"/>
      <c r="E629" s="42"/>
    </row>
    <row r="630" ht="15.0" customHeight="1">
      <c r="A630" s="28"/>
      <c r="B630" s="28"/>
      <c r="C630" s="38"/>
      <c r="D630" s="42"/>
      <c r="E630" s="42"/>
    </row>
    <row r="631" ht="15.0" customHeight="1">
      <c r="A631" s="28"/>
      <c r="B631" s="28"/>
      <c r="C631" s="38"/>
      <c r="D631" s="42"/>
      <c r="E631" s="42"/>
    </row>
    <row r="632" ht="15.0" customHeight="1">
      <c r="A632" s="28"/>
      <c r="B632" s="28"/>
      <c r="C632" s="38"/>
      <c r="D632" s="42"/>
      <c r="E632" s="42"/>
    </row>
    <row r="633" ht="15.0" customHeight="1">
      <c r="A633" s="28"/>
      <c r="B633" s="28"/>
      <c r="C633" s="38"/>
      <c r="D633" s="42"/>
      <c r="E633" s="42"/>
    </row>
    <row r="634" ht="15.0" customHeight="1">
      <c r="A634" s="28"/>
      <c r="B634" s="28"/>
      <c r="C634" s="38"/>
      <c r="D634" s="42"/>
      <c r="E634" s="42"/>
    </row>
    <row r="635" ht="15.0" customHeight="1">
      <c r="A635" s="28"/>
      <c r="B635" s="28"/>
      <c r="C635" s="38"/>
      <c r="D635" s="42"/>
      <c r="E635" s="42"/>
    </row>
    <row r="636" ht="15.0" customHeight="1">
      <c r="A636" s="28"/>
      <c r="B636" s="28"/>
      <c r="C636" s="38"/>
      <c r="D636" s="42"/>
      <c r="E636" s="42"/>
    </row>
    <row r="637" ht="15.0" customHeight="1">
      <c r="A637" s="28"/>
      <c r="B637" s="28"/>
      <c r="C637" s="38"/>
      <c r="D637" s="42"/>
      <c r="E637" s="42"/>
    </row>
    <row r="638" ht="15.0" customHeight="1">
      <c r="A638" s="28"/>
      <c r="B638" s="28"/>
      <c r="C638" s="38"/>
      <c r="D638" s="42"/>
      <c r="E638" s="42"/>
    </row>
    <row r="639" ht="15.0" customHeight="1">
      <c r="A639" s="28"/>
      <c r="B639" s="28"/>
      <c r="C639" s="38"/>
      <c r="D639" s="42"/>
      <c r="E639" s="42"/>
    </row>
    <row r="640" ht="15.0" customHeight="1">
      <c r="A640" s="28"/>
      <c r="B640" s="28"/>
      <c r="C640" s="38"/>
      <c r="D640" s="42"/>
      <c r="E640" s="42"/>
    </row>
    <row r="641" ht="15.0" customHeight="1">
      <c r="A641" s="28"/>
      <c r="B641" s="28"/>
      <c r="C641" s="38"/>
      <c r="D641" s="42"/>
      <c r="E641" s="42"/>
    </row>
    <row r="642" ht="15.0" customHeight="1">
      <c r="A642" s="28"/>
      <c r="B642" s="28"/>
      <c r="C642" s="38"/>
      <c r="D642" s="42"/>
      <c r="E642" s="42"/>
    </row>
    <row r="643" ht="15.0" customHeight="1">
      <c r="A643" s="28"/>
      <c r="B643" s="28"/>
      <c r="C643" s="38"/>
      <c r="D643" s="42"/>
      <c r="E643" s="42"/>
    </row>
    <row r="644" ht="15.0" customHeight="1">
      <c r="A644" s="28"/>
      <c r="B644" s="28"/>
      <c r="C644" s="38"/>
      <c r="D644" s="42"/>
      <c r="E644" s="42"/>
    </row>
    <row r="645" ht="15.0" customHeight="1">
      <c r="A645" s="28"/>
      <c r="B645" s="28"/>
      <c r="C645" s="38"/>
      <c r="D645" s="42"/>
      <c r="E645" s="42"/>
    </row>
    <row r="646" ht="15.0" customHeight="1">
      <c r="A646" s="28"/>
      <c r="B646" s="28"/>
      <c r="C646" s="38"/>
      <c r="D646" s="42"/>
      <c r="E646" s="42"/>
    </row>
    <row r="647" ht="15.0" customHeight="1">
      <c r="A647" s="28"/>
      <c r="B647" s="28"/>
      <c r="C647" s="38"/>
      <c r="D647" s="42"/>
      <c r="E647" s="42"/>
    </row>
    <row r="648" ht="15.0" customHeight="1">
      <c r="A648" s="28"/>
      <c r="B648" s="28"/>
      <c r="C648" s="38"/>
      <c r="D648" s="42"/>
      <c r="E648" s="42"/>
    </row>
    <row r="649" ht="15.0" customHeight="1">
      <c r="A649" s="28"/>
      <c r="B649" s="28"/>
      <c r="C649" s="38"/>
      <c r="D649" s="42"/>
      <c r="E649" s="42"/>
    </row>
    <row r="650" ht="15.0" customHeight="1">
      <c r="A650" s="28"/>
      <c r="B650" s="28"/>
      <c r="C650" s="38"/>
      <c r="D650" s="42"/>
      <c r="E650" s="42"/>
    </row>
    <row r="651" ht="15.0" customHeight="1">
      <c r="A651" s="28"/>
      <c r="B651" s="28"/>
      <c r="C651" s="38"/>
      <c r="D651" s="42"/>
      <c r="E651" s="42"/>
    </row>
    <row r="652" ht="15.0" customHeight="1">
      <c r="A652" s="28"/>
      <c r="B652" s="28"/>
      <c r="C652" s="38"/>
      <c r="D652" s="42"/>
      <c r="E652" s="42"/>
    </row>
    <row r="653" ht="15.0" customHeight="1">
      <c r="A653" s="28"/>
      <c r="B653" s="28"/>
      <c r="C653" s="38"/>
      <c r="D653" s="42"/>
      <c r="E653" s="42"/>
    </row>
    <row r="654" ht="15.0" customHeight="1">
      <c r="A654" s="28"/>
      <c r="B654" s="28"/>
      <c r="C654" s="38"/>
      <c r="D654" s="42"/>
      <c r="E654" s="42"/>
    </row>
    <row r="655" ht="15.0" customHeight="1">
      <c r="A655" s="28"/>
      <c r="B655" s="28"/>
      <c r="C655" s="38"/>
      <c r="D655" s="42"/>
      <c r="E655" s="42"/>
    </row>
    <row r="656" ht="15.0" customHeight="1">
      <c r="A656" s="28"/>
      <c r="B656" s="28"/>
      <c r="C656" s="38"/>
      <c r="D656" s="42"/>
      <c r="E656" s="42"/>
    </row>
    <row r="657" ht="15.0" customHeight="1">
      <c r="A657" s="28"/>
      <c r="B657" s="28"/>
      <c r="C657" s="38"/>
      <c r="D657" s="42"/>
      <c r="E657" s="42"/>
    </row>
    <row r="658" ht="15.0" customHeight="1">
      <c r="A658" s="28"/>
      <c r="B658" s="28"/>
      <c r="C658" s="38"/>
      <c r="D658" s="42"/>
      <c r="E658" s="42"/>
    </row>
    <row r="659" ht="15.0" customHeight="1">
      <c r="A659" s="28"/>
      <c r="B659" s="28"/>
      <c r="C659" s="38"/>
      <c r="D659" s="42"/>
      <c r="E659" s="42"/>
    </row>
    <row r="660" ht="15.0" customHeight="1">
      <c r="A660" s="28"/>
      <c r="B660" s="28"/>
      <c r="C660" s="38"/>
      <c r="D660" s="42"/>
      <c r="E660" s="42"/>
    </row>
    <row r="661" ht="15.0" customHeight="1">
      <c r="A661" s="28"/>
      <c r="B661" s="28"/>
      <c r="C661" s="38"/>
      <c r="D661" s="42"/>
      <c r="E661" s="42"/>
    </row>
    <row r="662" ht="15.0" customHeight="1">
      <c r="A662" s="28"/>
      <c r="B662" s="28"/>
      <c r="C662" s="38"/>
      <c r="D662" s="42"/>
      <c r="E662" s="42"/>
    </row>
    <row r="663" ht="15.0" customHeight="1">
      <c r="A663" s="28"/>
      <c r="B663" s="28"/>
      <c r="C663" s="38"/>
      <c r="D663" s="42"/>
      <c r="E663" s="42"/>
    </row>
    <row r="664" ht="15.0" customHeight="1">
      <c r="A664" s="28"/>
      <c r="B664" s="28"/>
      <c r="C664" s="38"/>
      <c r="D664" s="42"/>
      <c r="E664" s="42"/>
    </row>
    <row r="665" ht="15.0" customHeight="1">
      <c r="A665" s="28"/>
      <c r="B665" s="28"/>
      <c r="C665" s="38"/>
      <c r="D665" s="42"/>
      <c r="E665" s="42"/>
    </row>
    <row r="666" ht="15.0" customHeight="1">
      <c r="A666" s="28"/>
      <c r="B666" s="28"/>
      <c r="C666" s="38"/>
      <c r="D666" s="42"/>
      <c r="E666" s="42"/>
    </row>
    <row r="667" ht="15.0" customHeight="1">
      <c r="A667" s="28"/>
      <c r="B667" s="28"/>
      <c r="C667" s="38"/>
      <c r="D667" s="42"/>
      <c r="E667" s="42"/>
    </row>
    <row r="668" ht="15.0" customHeight="1">
      <c r="A668" s="28"/>
      <c r="B668" s="28"/>
      <c r="C668" s="38"/>
      <c r="D668" s="42"/>
      <c r="E668" s="42"/>
    </row>
    <row r="669" ht="15.0" customHeight="1">
      <c r="A669" s="28"/>
      <c r="B669" s="28"/>
      <c r="C669" s="38"/>
      <c r="D669" s="42"/>
      <c r="E669" s="42"/>
    </row>
    <row r="670" ht="15.0" customHeight="1">
      <c r="A670" s="28"/>
      <c r="B670" s="28"/>
      <c r="C670" s="38"/>
      <c r="D670" s="42"/>
      <c r="E670" s="42"/>
    </row>
    <row r="671" ht="15.0" customHeight="1">
      <c r="A671" s="28"/>
      <c r="B671" s="28"/>
      <c r="C671" s="38"/>
      <c r="D671" s="42"/>
      <c r="E671" s="42"/>
    </row>
    <row r="672" ht="15.0" customHeight="1">
      <c r="A672" s="28"/>
      <c r="B672" s="28"/>
      <c r="C672" s="38"/>
      <c r="D672" s="42"/>
      <c r="E672" s="42"/>
    </row>
    <row r="673" ht="15.0" customHeight="1">
      <c r="A673" s="28"/>
      <c r="B673" s="28"/>
      <c r="C673" s="38"/>
      <c r="D673" s="42"/>
      <c r="E673" s="42"/>
    </row>
    <row r="674" ht="15.0" customHeight="1">
      <c r="A674" s="28"/>
      <c r="B674" s="28"/>
      <c r="C674" s="38"/>
      <c r="D674" s="42"/>
      <c r="E674" s="42"/>
    </row>
    <row r="675" ht="15.0" customHeight="1">
      <c r="A675" s="28"/>
      <c r="B675" s="28"/>
      <c r="C675" s="38"/>
      <c r="D675" s="42"/>
      <c r="E675" s="42"/>
    </row>
    <row r="676" ht="15.0" customHeight="1">
      <c r="A676" s="28"/>
      <c r="B676" s="28"/>
      <c r="C676" s="38"/>
      <c r="D676" s="42"/>
      <c r="E676" s="42"/>
    </row>
    <row r="677" ht="15.0" customHeight="1">
      <c r="A677" s="28"/>
      <c r="B677" s="28"/>
      <c r="C677" s="38"/>
      <c r="D677" s="42"/>
      <c r="E677" s="42"/>
    </row>
    <row r="678" ht="15.0" customHeight="1">
      <c r="A678" s="28"/>
      <c r="B678" s="28"/>
      <c r="C678" s="38"/>
      <c r="D678" s="42"/>
      <c r="E678" s="42"/>
    </row>
    <row r="679" ht="15.0" customHeight="1">
      <c r="A679" s="28"/>
      <c r="B679" s="28"/>
      <c r="C679" s="38"/>
      <c r="D679" s="42"/>
      <c r="E679" s="42"/>
    </row>
    <row r="680" ht="15.0" customHeight="1">
      <c r="A680" s="28"/>
      <c r="B680" s="28"/>
      <c r="C680" s="38"/>
      <c r="D680" s="42"/>
      <c r="E680" s="42"/>
    </row>
    <row r="681" ht="15.0" customHeight="1">
      <c r="A681" s="28"/>
      <c r="B681" s="28"/>
      <c r="C681" s="38"/>
      <c r="D681" s="42"/>
      <c r="E681" s="42"/>
    </row>
    <row r="682" ht="15.0" customHeight="1">
      <c r="A682" s="28"/>
      <c r="B682" s="28"/>
      <c r="C682" s="38"/>
      <c r="D682" s="42"/>
      <c r="E682" s="42"/>
    </row>
    <row r="683" ht="15.0" customHeight="1">
      <c r="A683" s="28"/>
      <c r="B683" s="28"/>
      <c r="C683" s="38"/>
      <c r="D683" s="42"/>
      <c r="E683" s="42"/>
    </row>
    <row r="684" ht="15.0" customHeight="1">
      <c r="A684" s="28"/>
      <c r="B684" s="28"/>
      <c r="C684" s="38"/>
      <c r="D684" s="42"/>
      <c r="E684" s="42"/>
    </row>
    <row r="685" ht="15.0" customHeight="1">
      <c r="A685" s="28"/>
      <c r="B685" s="28"/>
      <c r="C685" s="38"/>
      <c r="D685" s="42"/>
      <c r="E685" s="42"/>
    </row>
    <row r="686" ht="15.0" customHeight="1">
      <c r="A686" s="28"/>
      <c r="B686" s="28"/>
      <c r="C686" s="38"/>
      <c r="D686" s="42"/>
      <c r="E686" s="42"/>
    </row>
    <row r="687" ht="15.0" customHeight="1">
      <c r="A687" s="28"/>
      <c r="B687" s="28"/>
      <c r="C687" s="38"/>
      <c r="D687" s="42"/>
      <c r="E687" s="42"/>
    </row>
    <row r="688" ht="15.0" customHeight="1">
      <c r="A688" s="28"/>
      <c r="B688" s="28"/>
      <c r="C688" s="38"/>
      <c r="D688" s="42"/>
      <c r="E688" s="42"/>
    </row>
    <row r="689" ht="15.0" customHeight="1">
      <c r="A689" s="28"/>
      <c r="B689" s="28"/>
      <c r="C689" s="38"/>
      <c r="D689" s="42"/>
      <c r="E689" s="42"/>
    </row>
    <row r="690" ht="15.0" customHeight="1">
      <c r="A690" s="28"/>
      <c r="B690" s="28"/>
      <c r="C690" s="38"/>
      <c r="D690" s="42"/>
      <c r="E690" s="42"/>
    </row>
    <row r="691" ht="15.0" customHeight="1">
      <c r="A691" s="28"/>
      <c r="B691" s="28"/>
      <c r="C691" s="38"/>
      <c r="D691" s="42"/>
      <c r="E691" s="42"/>
    </row>
    <row r="692" ht="15.0" customHeight="1">
      <c r="A692" s="28"/>
      <c r="B692" s="28"/>
      <c r="C692" s="38"/>
      <c r="D692" s="42"/>
      <c r="E692" s="42"/>
    </row>
    <row r="693" ht="15.0" customHeight="1">
      <c r="A693" s="28"/>
      <c r="B693" s="28"/>
      <c r="C693" s="38"/>
      <c r="D693" s="42"/>
      <c r="E693" s="42"/>
    </row>
    <row r="694" ht="15.0" customHeight="1">
      <c r="A694" s="28"/>
      <c r="B694" s="28"/>
      <c r="C694" s="38"/>
      <c r="D694" s="42"/>
      <c r="E694" s="42"/>
    </row>
    <row r="695" ht="15.0" customHeight="1">
      <c r="A695" s="28"/>
      <c r="B695" s="28"/>
      <c r="C695" s="38"/>
      <c r="D695" s="42"/>
      <c r="E695" s="42"/>
    </row>
    <row r="696" ht="15.0" customHeight="1">
      <c r="A696" s="28"/>
      <c r="B696" s="28"/>
      <c r="C696" s="38"/>
      <c r="D696" s="42"/>
      <c r="E696" s="42"/>
    </row>
    <row r="697" ht="15.0" customHeight="1">
      <c r="A697" s="28"/>
      <c r="B697" s="28"/>
      <c r="C697" s="38"/>
      <c r="D697" s="42"/>
      <c r="E697" s="42"/>
    </row>
    <row r="698" ht="15.0" customHeight="1">
      <c r="A698" s="28"/>
      <c r="B698" s="28"/>
      <c r="C698" s="38"/>
      <c r="D698" s="42"/>
      <c r="E698" s="42"/>
    </row>
    <row r="699" ht="15.0" customHeight="1">
      <c r="A699" s="28"/>
      <c r="B699" s="28"/>
      <c r="C699" s="38"/>
      <c r="D699" s="42"/>
      <c r="E699" s="42"/>
    </row>
    <row r="700" ht="15.0" customHeight="1">
      <c r="A700" s="28"/>
      <c r="B700" s="28"/>
      <c r="C700" s="38"/>
      <c r="D700" s="42"/>
      <c r="E700" s="42"/>
    </row>
    <row r="701" ht="15.0" customHeight="1">
      <c r="A701" s="28"/>
      <c r="B701" s="28"/>
      <c r="C701" s="38"/>
      <c r="D701" s="42"/>
      <c r="E701" s="42"/>
    </row>
    <row r="702" ht="15.0" customHeight="1">
      <c r="A702" s="28"/>
      <c r="B702" s="28"/>
      <c r="C702" s="38"/>
      <c r="D702" s="42"/>
      <c r="E702" s="42"/>
    </row>
    <row r="703" ht="15.0" customHeight="1">
      <c r="A703" s="28"/>
      <c r="B703" s="28"/>
      <c r="C703" s="38"/>
      <c r="D703" s="42"/>
      <c r="E703" s="42"/>
    </row>
    <row r="704" ht="15.0" customHeight="1">
      <c r="A704" s="28"/>
      <c r="B704" s="28"/>
      <c r="C704" s="38"/>
      <c r="D704" s="42"/>
      <c r="E704" s="42"/>
    </row>
    <row r="705" ht="15.0" customHeight="1">
      <c r="A705" s="28"/>
      <c r="B705" s="28"/>
      <c r="C705" s="38"/>
      <c r="D705" s="42"/>
      <c r="E705" s="42"/>
    </row>
    <row r="706" ht="15.0" customHeight="1">
      <c r="A706" s="28"/>
      <c r="B706" s="28"/>
      <c r="C706" s="38"/>
      <c r="D706" s="42"/>
      <c r="E706" s="42"/>
    </row>
    <row r="707" ht="15.0" customHeight="1">
      <c r="A707" s="28"/>
      <c r="B707" s="28"/>
      <c r="C707" s="38"/>
      <c r="D707" s="42"/>
      <c r="E707" s="42"/>
    </row>
    <row r="708" ht="15.0" customHeight="1">
      <c r="A708" s="28"/>
      <c r="B708" s="28"/>
      <c r="C708" s="38"/>
      <c r="D708" s="42"/>
      <c r="E708" s="42"/>
    </row>
    <row r="709" ht="15.0" customHeight="1">
      <c r="A709" s="28"/>
      <c r="B709" s="28"/>
      <c r="C709" s="38"/>
      <c r="D709" s="42"/>
      <c r="E709" s="42"/>
    </row>
    <row r="710" ht="15.0" customHeight="1">
      <c r="A710" s="28"/>
      <c r="B710" s="28"/>
      <c r="C710" s="38"/>
      <c r="D710" s="42"/>
      <c r="E710" s="42"/>
    </row>
    <row r="711" ht="15.0" customHeight="1">
      <c r="A711" s="28"/>
      <c r="B711" s="28"/>
      <c r="C711" s="38"/>
      <c r="D711" s="42"/>
      <c r="E711" s="42"/>
    </row>
    <row r="712" ht="15.0" customHeight="1">
      <c r="A712" s="28"/>
      <c r="B712" s="28"/>
      <c r="C712" s="38"/>
      <c r="D712" s="42"/>
      <c r="E712" s="42"/>
    </row>
    <row r="713" ht="15.0" customHeight="1">
      <c r="A713" s="28"/>
      <c r="B713" s="28"/>
      <c r="C713" s="38"/>
      <c r="D713" s="42"/>
      <c r="E713" s="42"/>
    </row>
    <row r="714" ht="15.0" customHeight="1">
      <c r="A714" s="28"/>
      <c r="B714" s="28"/>
      <c r="C714" s="38"/>
      <c r="D714" s="42"/>
      <c r="E714" s="42"/>
    </row>
    <row r="715" ht="15.0" customHeight="1">
      <c r="A715" s="28"/>
      <c r="B715" s="28"/>
      <c r="C715" s="38"/>
      <c r="D715" s="42"/>
      <c r="E715" s="42"/>
    </row>
    <row r="716" ht="15.0" customHeight="1">
      <c r="A716" s="28"/>
      <c r="B716" s="28"/>
      <c r="C716" s="38"/>
      <c r="D716" s="42"/>
      <c r="E716" s="42"/>
    </row>
    <row r="717" ht="15.0" customHeight="1">
      <c r="A717" s="28"/>
      <c r="B717" s="28"/>
      <c r="C717" s="38"/>
      <c r="D717" s="42"/>
      <c r="E717" s="42"/>
    </row>
    <row r="718" ht="15.0" customHeight="1">
      <c r="A718" s="28"/>
      <c r="B718" s="28"/>
      <c r="C718" s="38"/>
      <c r="D718" s="42"/>
      <c r="E718" s="42"/>
    </row>
    <row r="719" ht="15.0" customHeight="1">
      <c r="A719" s="28"/>
      <c r="B719" s="28"/>
      <c r="C719" s="38"/>
      <c r="D719" s="42"/>
      <c r="E719" s="42"/>
    </row>
    <row r="720" ht="15.0" customHeight="1">
      <c r="A720" s="28"/>
      <c r="B720" s="28"/>
      <c r="C720" s="38"/>
      <c r="D720" s="42"/>
      <c r="E720" s="42"/>
    </row>
    <row r="721" ht="15.0" customHeight="1">
      <c r="A721" s="28"/>
      <c r="B721" s="28"/>
      <c r="C721" s="38"/>
      <c r="D721" s="42"/>
      <c r="E721" s="42"/>
    </row>
    <row r="722" ht="15.0" customHeight="1">
      <c r="A722" s="28"/>
      <c r="B722" s="28"/>
      <c r="C722" s="38"/>
      <c r="D722" s="42"/>
      <c r="E722" s="42"/>
    </row>
    <row r="723" ht="15.0" customHeight="1">
      <c r="A723" s="28"/>
      <c r="B723" s="28"/>
      <c r="C723" s="38"/>
      <c r="D723" s="42"/>
      <c r="E723" s="42"/>
    </row>
    <row r="724" ht="15.0" customHeight="1">
      <c r="A724" s="28"/>
      <c r="B724" s="28"/>
      <c r="C724" s="38"/>
      <c r="D724" s="42"/>
      <c r="E724" s="42"/>
    </row>
    <row r="725" ht="15.0" customHeight="1">
      <c r="A725" s="28"/>
      <c r="B725" s="28"/>
      <c r="C725" s="38"/>
      <c r="D725" s="42"/>
      <c r="E725" s="42"/>
    </row>
    <row r="726" ht="15.0" customHeight="1">
      <c r="A726" s="28"/>
      <c r="B726" s="28"/>
      <c r="C726" s="38"/>
      <c r="D726" s="42"/>
      <c r="E726" s="42"/>
    </row>
    <row r="727" ht="15.0" customHeight="1">
      <c r="A727" s="28"/>
      <c r="B727" s="28"/>
      <c r="C727" s="38"/>
      <c r="D727" s="42"/>
      <c r="E727" s="42"/>
    </row>
    <row r="728" ht="15.0" customHeight="1">
      <c r="A728" s="28"/>
      <c r="B728" s="28"/>
      <c r="C728" s="38"/>
      <c r="D728" s="42"/>
      <c r="E728" s="42"/>
    </row>
    <row r="729" ht="15.0" customHeight="1">
      <c r="A729" s="28"/>
      <c r="B729" s="28"/>
      <c r="C729" s="38"/>
      <c r="D729" s="42"/>
      <c r="E729" s="42"/>
    </row>
    <row r="730" ht="15.0" customHeight="1">
      <c r="A730" s="28"/>
      <c r="B730" s="28"/>
      <c r="C730" s="38"/>
      <c r="D730" s="42"/>
      <c r="E730" s="42"/>
    </row>
    <row r="731" ht="15.0" customHeight="1">
      <c r="A731" s="28"/>
      <c r="B731" s="28"/>
      <c r="C731" s="38"/>
      <c r="D731" s="42"/>
      <c r="E731" s="42"/>
    </row>
    <row r="732" ht="15.0" customHeight="1">
      <c r="A732" s="28"/>
      <c r="B732" s="28"/>
      <c r="C732" s="38"/>
      <c r="D732" s="42"/>
      <c r="E732" s="42"/>
    </row>
    <row r="733" ht="15.0" customHeight="1">
      <c r="A733" s="28"/>
      <c r="B733" s="28"/>
      <c r="C733" s="38"/>
      <c r="D733" s="42"/>
      <c r="E733" s="42"/>
    </row>
    <row r="734" ht="15.0" customHeight="1">
      <c r="A734" s="28"/>
      <c r="B734" s="28"/>
      <c r="C734" s="38"/>
      <c r="D734" s="42"/>
      <c r="E734" s="42"/>
    </row>
    <row r="735" ht="15.0" customHeight="1">
      <c r="A735" s="28"/>
      <c r="B735" s="28"/>
      <c r="C735" s="38"/>
      <c r="D735" s="42"/>
      <c r="E735" s="42"/>
    </row>
    <row r="736" ht="15.0" customHeight="1">
      <c r="A736" s="28"/>
      <c r="B736" s="28"/>
      <c r="C736" s="38"/>
      <c r="D736" s="42"/>
      <c r="E736" s="42"/>
    </row>
    <row r="737" ht="15.0" customHeight="1">
      <c r="A737" s="28"/>
      <c r="B737" s="28"/>
      <c r="C737" s="38"/>
      <c r="D737" s="42"/>
      <c r="E737" s="42"/>
    </row>
    <row r="738" ht="15.0" customHeight="1">
      <c r="A738" s="28"/>
      <c r="B738" s="28"/>
      <c r="C738" s="38"/>
      <c r="D738" s="42"/>
      <c r="E738" s="42"/>
    </row>
    <row r="739" ht="15.0" customHeight="1">
      <c r="A739" s="28"/>
      <c r="B739" s="28"/>
      <c r="C739" s="38"/>
      <c r="D739" s="42"/>
      <c r="E739" s="42"/>
    </row>
    <row r="740" ht="15.0" customHeight="1">
      <c r="A740" s="28"/>
      <c r="B740" s="28"/>
      <c r="C740" s="38"/>
      <c r="D740" s="42"/>
      <c r="E740" s="42"/>
    </row>
    <row r="741" ht="15.0" customHeight="1">
      <c r="A741" s="28"/>
      <c r="B741" s="28"/>
      <c r="C741" s="38"/>
      <c r="D741" s="42"/>
      <c r="E741" s="42"/>
    </row>
    <row r="742" ht="15.0" customHeight="1">
      <c r="A742" s="28"/>
      <c r="B742" s="28"/>
      <c r="C742" s="38"/>
      <c r="D742" s="42"/>
      <c r="E742" s="42"/>
    </row>
    <row r="743" ht="15.0" customHeight="1">
      <c r="A743" s="28"/>
      <c r="B743" s="28"/>
      <c r="C743" s="38"/>
      <c r="D743" s="42"/>
      <c r="E743" s="42"/>
    </row>
    <row r="744" ht="15.0" customHeight="1">
      <c r="A744" s="28"/>
      <c r="B744" s="28"/>
      <c r="C744" s="38"/>
      <c r="D744" s="42"/>
      <c r="E744" s="42"/>
    </row>
    <row r="745" ht="15.0" customHeight="1">
      <c r="A745" s="28"/>
      <c r="B745" s="28"/>
      <c r="C745" s="38"/>
      <c r="D745" s="42"/>
      <c r="E745" s="42"/>
    </row>
    <row r="746" ht="15.0" customHeight="1">
      <c r="A746" s="28"/>
      <c r="B746" s="28"/>
      <c r="C746" s="38"/>
      <c r="D746" s="42"/>
      <c r="E746" s="42"/>
    </row>
    <row r="747" ht="15.0" customHeight="1">
      <c r="A747" s="28"/>
      <c r="B747" s="28"/>
      <c r="C747" s="38"/>
      <c r="D747" s="42"/>
      <c r="E747" s="42"/>
    </row>
    <row r="748" ht="15.0" customHeight="1">
      <c r="A748" s="28"/>
      <c r="B748" s="28"/>
      <c r="C748" s="38"/>
      <c r="D748" s="42"/>
      <c r="E748" s="42"/>
    </row>
    <row r="749" ht="15.0" customHeight="1">
      <c r="A749" s="28"/>
      <c r="B749" s="28"/>
      <c r="C749" s="38"/>
      <c r="D749" s="42"/>
      <c r="E749" s="42"/>
    </row>
    <row r="750" ht="15.0" customHeight="1">
      <c r="A750" s="28"/>
      <c r="B750" s="28"/>
      <c r="C750" s="38"/>
      <c r="D750" s="42"/>
      <c r="E750" s="42"/>
    </row>
    <row r="751" ht="15.0" customHeight="1">
      <c r="A751" s="28"/>
      <c r="B751" s="28"/>
      <c r="C751" s="38"/>
      <c r="D751" s="42"/>
      <c r="E751" s="42"/>
    </row>
    <row r="752" ht="15.0" customHeight="1">
      <c r="A752" s="28"/>
      <c r="B752" s="28"/>
      <c r="C752" s="38"/>
      <c r="D752" s="42"/>
      <c r="E752" s="42"/>
    </row>
    <row r="753" ht="15.0" customHeight="1">
      <c r="A753" s="28"/>
      <c r="B753" s="28"/>
      <c r="C753" s="38"/>
      <c r="D753" s="42"/>
      <c r="E753" s="42"/>
    </row>
    <row r="754" ht="15.0" customHeight="1">
      <c r="A754" s="28"/>
      <c r="B754" s="28"/>
      <c r="C754" s="38"/>
      <c r="D754" s="42"/>
      <c r="E754" s="42"/>
    </row>
    <row r="755" ht="15.0" customHeight="1">
      <c r="A755" s="28"/>
      <c r="B755" s="28"/>
      <c r="C755" s="38"/>
      <c r="D755" s="42"/>
      <c r="E755" s="42"/>
    </row>
    <row r="756" ht="15.0" customHeight="1">
      <c r="A756" s="28"/>
      <c r="B756" s="28"/>
      <c r="C756" s="38"/>
      <c r="D756" s="42"/>
      <c r="E756" s="42"/>
    </row>
    <row r="757" ht="15.0" customHeight="1">
      <c r="A757" s="28"/>
      <c r="B757" s="28"/>
      <c r="C757" s="38"/>
      <c r="D757" s="42"/>
      <c r="E757" s="42"/>
    </row>
    <row r="758" ht="15.0" customHeight="1">
      <c r="A758" s="28"/>
      <c r="B758" s="28"/>
      <c r="C758" s="38"/>
      <c r="D758" s="42"/>
      <c r="E758" s="42"/>
    </row>
    <row r="759" ht="15.0" customHeight="1">
      <c r="A759" s="28"/>
      <c r="B759" s="28"/>
      <c r="C759" s="38"/>
      <c r="D759" s="42"/>
      <c r="E759" s="42"/>
    </row>
    <row r="760" ht="15.0" customHeight="1">
      <c r="A760" s="28"/>
      <c r="B760" s="28"/>
      <c r="C760" s="38"/>
      <c r="D760" s="42"/>
      <c r="E760" s="42"/>
    </row>
    <row r="761" ht="15.0" customHeight="1">
      <c r="A761" s="28"/>
      <c r="B761" s="28"/>
      <c r="C761" s="38"/>
      <c r="D761" s="42"/>
      <c r="E761" s="42"/>
    </row>
    <row r="762" ht="15.0" customHeight="1">
      <c r="A762" s="28"/>
      <c r="B762" s="28"/>
      <c r="C762" s="38"/>
      <c r="D762" s="42"/>
      <c r="E762" s="42"/>
    </row>
    <row r="763" ht="15.0" customHeight="1">
      <c r="A763" s="28"/>
      <c r="B763" s="28"/>
      <c r="C763" s="38"/>
      <c r="D763" s="42"/>
      <c r="E763" s="42"/>
    </row>
    <row r="764" ht="15.0" customHeight="1">
      <c r="A764" s="28"/>
      <c r="B764" s="28"/>
      <c r="C764" s="38"/>
      <c r="D764" s="42"/>
      <c r="E764" s="42"/>
    </row>
    <row r="765" ht="15.0" customHeight="1">
      <c r="A765" s="28"/>
      <c r="B765" s="28"/>
      <c r="C765" s="38"/>
      <c r="D765" s="42"/>
      <c r="E765" s="42"/>
    </row>
    <row r="766" ht="15.0" customHeight="1">
      <c r="A766" s="28"/>
      <c r="B766" s="28"/>
      <c r="C766" s="38"/>
      <c r="D766" s="42"/>
      <c r="E766" s="42"/>
    </row>
    <row r="767" ht="15.0" customHeight="1">
      <c r="A767" s="28"/>
      <c r="B767" s="28"/>
      <c r="C767" s="38"/>
      <c r="D767" s="42"/>
      <c r="E767" s="42"/>
    </row>
    <row r="768" ht="15.0" customHeight="1">
      <c r="A768" s="28"/>
      <c r="B768" s="28"/>
      <c r="C768" s="38"/>
      <c r="D768" s="42"/>
      <c r="E768" s="42"/>
    </row>
    <row r="769" ht="15.0" customHeight="1">
      <c r="A769" s="28"/>
      <c r="B769" s="28"/>
      <c r="C769" s="38"/>
      <c r="D769" s="42"/>
      <c r="E769" s="42"/>
    </row>
    <row r="770" ht="15.0" customHeight="1">
      <c r="A770" s="28"/>
      <c r="B770" s="28"/>
      <c r="C770" s="38"/>
      <c r="D770" s="42"/>
      <c r="E770" s="42"/>
    </row>
    <row r="771" ht="15.0" customHeight="1">
      <c r="A771" s="28"/>
      <c r="B771" s="28"/>
      <c r="C771" s="38"/>
      <c r="D771" s="42"/>
      <c r="E771" s="42"/>
    </row>
    <row r="772" ht="15.0" customHeight="1">
      <c r="A772" s="28"/>
      <c r="B772" s="28"/>
      <c r="C772" s="38"/>
      <c r="D772" s="42"/>
      <c r="E772" s="42"/>
    </row>
    <row r="773" ht="15.0" customHeight="1">
      <c r="A773" s="28"/>
      <c r="B773" s="28"/>
      <c r="C773" s="38"/>
      <c r="D773" s="42"/>
      <c r="E773" s="42"/>
    </row>
    <row r="774" ht="15.0" customHeight="1">
      <c r="A774" s="28"/>
      <c r="B774" s="28"/>
      <c r="C774" s="38"/>
      <c r="D774" s="42"/>
      <c r="E774" s="42"/>
    </row>
    <row r="775" ht="15.0" customHeight="1">
      <c r="A775" s="28"/>
      <c r="B775" s="28"/>
      <c r="C775" s="38"/>
      <c r="D775" s="42"/>
      <c r="E775" s="42"/>
    </row>
    <row r="776" ht="15.0" customHeight="1">
      <c r="A776" s="28"/>
      <c r="B776" s="28"/>
      <c r="C776" s="38"/>
      <c r="D776" s="42"/>
      <c r="E776" s="42"/>
    </row>
    <row r="777" ht="15.0" customHeight="1">
      <c r="A777" s="28"/>
      <c r="B777" s="28"/>
      <c r="C777" s="38"/>
      <c r="D777" s="42"/>
      <c r="E777" s="42"/>
    </row>
    <row r="778" ht="15.0" customHeight="1">
      <c r="A778" s="28"/>
      <c r="B778" s="28"/>
      <c r="C778" s="38"/>
      <c r="D778" s="42"/>
      <c r="E778" s="42"/>
    </row>
    <row r="779" ht="15.0" customHeight="1">
      <c r="A779" s="28"/>
      <c r="B779" s="28"/>
      <c r="C779" s="38"/>
      <c r="D779" s="42"/>
      <c r="E779" s="42"/>
    </row>
    <row r="780" ht="15.0" customHeight="1">
      <c r="A780" s="28"/>
      <c r="B780" s="28"/>
      <c r="C780" s="38"/>
      <c r="D780" s="42"/>
      <c r="E780" s="42"/>
    </row>
    <row r="781" ht="15.0" customHeight="1">
      <c r="A781" s="28"/>
      <c r="B781" s="28"/>
      <c r="C781" s="38"/>
      <c r="D781" s="42"/>
      <c r="E781" s="42"/>
    </row>
    <row r="782" ht="15.0" customHeight="1">
      <c r="A782" s="28"/>
      <c r="B782" s="28"/>
      <c r="C782" s="38"/>
      <c r="D782" s="42"/>
      <c r="E782" s="42"/>
    </row>
    <row r="783" ht="15.0" customHeight="1">
      <c r="A783" s="28"/>
      <c r="B783" s="28"/>
      <c r="C783" s="38"/>
      <c r="D783" s="42"/>
      <c r="E783" s="42"/>
    </row>
    <row r="784" ht="15.0" customHeight="1">
      <c r="A784" s="28"/>
      <c r="B784" s="28"/>
      <c r="C784" s="38"/>
      <c r="D784" s="42"/>
      <c r="E784" s="42"/>
    </row>
    <row r="785" ht="15.0" customHeight="1">
      <c r="A785" s="28"/>
      <c r="B785" s="28"/>
      <c r="C785" s="38"/>
      <c r="D785" s="42"/>
      <c r="E785" s="42"/>
    </row>
    <row r="786" ht="15.0" customHeight="1">
      <c r="A786" s="28"/>
      <c r="B786" s="28"/>
      <c r="C786" s="38"/>
      <c r="D786" s="42"/>
      <c r="E786" s="42"/>
    </row>
    <row r="787" ht="15.0" customHeight="1">
      <c r="A787" s="28"/>
      <c r="B787" s="28"/>
      <c r="C787" s="38"/>
      <c r="D787" s="42"/>
      <c r="E787" s="42"/>
    </row>
    <row r="788" ht="15.0" customHeight="1">
      <c r="A788" s="28"/>
      <c r="B788" s="28"/>
      <c r="C788" s="38"/>
      <c r="D788" s="42"/>
      <c r="E788" s="42"/>
    </row>
    <row r="789" ht="15.0" customHeight="1">
      <c r="A789" s="28"/>
      <c r="B789" s="28"/>
      <c r="C789" s="38"/>
      <c r="D789" s="42"/>
      <c r="E789" s="42"/>
    </row>
    <row r="790" ht="15.0" customHeight="1">
      <c r="A790" s="28"/>
      <c r="B790" s="28"/>
      <c r="C790" s="38"/>
      <c r="D790" s="42"/>
      <c r="E790" s="42"/>
    </row>
    <row r="791" ht="15.0" customHeight="1">
      <c r="A791" s="28"/>
      <c r="B791" s="28"/>
      <c r="C791" s="38"/>
      <c r="D791" s="42"/>
      <c r="E791" s="42"/>
    </row>
    <row r="792" ht="15.0" customHeight="1">
      <c r="A792" s="28"/>
      <c r="B792" s="28"/>
      <c r="C792" s="38"/>
      <c r="D792" s="42"/>
      <c r="E792" s="42"/>
    </row>
    <row r="793" ht="15.0" customHeight="1">
      <c r="A793" s="28"/>
      <c r="B793" s="28"/>
      <c r="C793" s="38"/>
      <c r="D793" s="42"/>
      <c r="E793" s="42"/>
    </row>
    <row r="794" ht="15.0" customHeight="1">
      <c r="A794" s="28"/>
      <c r="B794" s="28"/>
      <c r="C794" s="38"/>
      <c r="D794" s="42"/>
      <c r="E794" s="42"/>
    </row>
    <row r="795" ht="15.0" customHeight="1">
      <c r="A795" s="28"/>
      <c r="B795" s="28"/>
      <c r="C795" s="38"/>
      <c r="D795" s="42"/>
      <c r="E795" s="42"/>
    </row>
    <row r="796" ht="15.0" customHeight="1">
      <c r="A796" s="28"/>
      <c r="B796" s="28"/>
      <c r="C796" s="38"/>
      <c r="D796" s="42"/>
      <c r="E796" s="42"/>
    </row>
    <row r="797" ht="15.0" customHeight="1">
      <c r="A797" s="28"/>
      <c r="B797" s="28"/>
      <c r="C797" s="38"/>
      <c r="D797" s="42"/>
      <c r="E797" s="42"/>
    </row>
    <row r="798" ht="15.0" customHeight="1">
      <c r="A798" s="28"/>
      <c r="B798" s="28"/>
      <c r="C798" s="38"/>
      <c r="D798" s="42"/>
      <c r="E798" s="42"/>
    </row>
    <row r="799" ht="15.0" customHeight="1">
      <c r="A799" s="28"/>
      <c r="B799" s="28"/>
      <c r="C799" s="38"/>
      <c r="D799" s="42"/>
      <c r="E799" s="42"/>
    </row>
    <row r="800" ht="15.0" customHeight="1">
      <c r="A800" s="28"/>
      <c r="B800" s="28"/>
      <c r="C800" s="38"/>
      <c r="D800" s="42"/>
      <c r="E800" s="42"/>
    </row>
    <row r="801" ht="15.0" customHeight="1">
      <c r="A801" s="28"/>
      <c r="B801" s="28"/>
      <c r="C801" s="38"/>
      <c r="D801" s="42"/>
      <c r="E801" s="42"/>
    </row>
    <row r="802" ht="15.0" customHeight="1">
      <c r="A802" s="28"/>
      <c r="B802" s="28"/>
      <c r="C802" s="38"/>
      <c r="D802" s="42"/>
      <c r="E802" s="42"/>
    </row>
    <row r="803" ht="15.0" customHeight="1">
      <c r="A803" s="28"/>
      <c r="B803" s="28"/>
      <c r="C803" s="38"/>
      <c r="D803" s="42"/>
      <c r="E803" s="42"/>
    </row>
    <row r="804" ht="15.0" customHeight="1">
      <c r="A804" s="28"/>
      <c r="B804" s="28"/>
      <c r="C804" s="38"/>
      <c r="D804" s="42"/>
      <c r="E804" s="42"/>
    </row>
    <row r="805" ht="15.0" customHeight="1">
      <c r="A805" s="28"/>
      <c r="B805" s="28"/>
      <c r="C805" s="38"/>
      <c r="D805" s="42"/>
      <c r="E805" s="42"/>
    </row>
    <row r="806" ht="15.0" customHeight="1">
      <c r="A806" s="28"/>
      <c r="B806" s="28"/>
      <c r="C806" s="38"/>
      <c r="D806" s="42"/>
      <c r="E806" s="42"/>
    </row>
    <row r="807" ht="15.0" customHeight="1">
      <c r="A807" s="28"/>
      <c r="B807" s="28"/>
      <c r="C807" s="38"/>
      <c r="D807" s="42"/>
      <c r="E807" s="42"/>
    </row>
    <row r="808" ht="15.0" customHeight="1">
      <c r="A808" s="28"/>
      <c r="B808" s="28"/>
      <c r="C808" s="38"/>
      <c r="D808" s="42"/>
      <c r="E808" s="42"/>
    </row>
    <row r="809" ht="15.0" customHeight="1">
      <c r="A809" s="28"/>
      <c r="B809" s="28"/>
      <c r="C809" s="38"/>
      <c r="D809" s="42"/>
      <c r="E809" s="42"/>
    </row>
    <row r="810" ht="15.0" customHeight="1">
      <c r="A810" s="28"/>
      <c r="B810" s="28"/>
      <c r="C810" s="38"/>
      <c r="D810" s="42"/>
      <c r="E810" s="42"/>
    </row>
    <row r="811" ht="15.0" customHeight="1">
      <c r="A811" s="28"/>
      <c r="B811" s="28"/>
      <c r="C811" s="38"/>
      <c r="D811" s="42"/>
      <c r="E811" s="42"/>
    </row>
    <row r="812" ht="15.0" customHeight="1">
      <c r="A812" s="28"/>
      <c r="B812" s="28"/>
      <c r="C812" s="38"/>
      <c r="D812" s="42"/>
      <c r="E812" s="42"/>
    </row>
    <row r="813" ht="15.0" customHeight="1">
      <c r="A813" s="28"/>
      <c r="B813" s="28"/>
      <c r="C813" s="38"/>
      <c r="D813" s="42"/>
      <c r="E813" s="42"/>
    </row>
    <row r="814" ht="15.0" customHeight="1">
      <c r="A814" s="28"/>
      <c r="B814" s="28"/>
      <c r="C814" s="38"/>
      <c r="D814" s="42"/>
      <c r="E814" s="42"/>
    </row>
    <row r="815" ht="15.0" customHeight="1">
      <c r="A815" s="28"/>
      <c r="B815" s="28"/>
      <c r="C815" s="38"/>
      <c r="D815" s="42"/>
      <c r="E815" s="42"/>
    </row>
    <row r="816" ht="15.0" customHeight="1">
      <c r="A816" s="28"/>
      <c r="B816" s="28"/>
      <c r="C816" s="38"/>
      <c r="D816" s="42"/>
      <c r="E816" s="42"/>
    </row>
    <row r="817" ht="15.0" customHeight="1">
      <c r="A817" s="28"/>
      <c r="B817" s="28"/>
      <c r="C817" s="38"/>
      <c r="D817" s="42"/>
      <c r="E817" s="42"/>
    </row>
    <row r="818" ht="15.0" customHeight="1">
      <c r="A818" s="28"/>
      <c r="B818" s="28"/>
      <c r="C818" s="38"/>
      <c r="D818" s="42"/>
      <c r="E818" s="42"/>
    </row>
    <row r="819" ht="15.0" customHeight="1">
      <c r="A819" s="28"/>
      <c r="B819" s="28"/>
      <c r="C819" s="38"/>
      <c r="D819" s="42"/>
      <c r="E819" s="42"/>
    </row>
    <row r="820" ht="15.0" customHeight="1">
      <c r="A820" s="28"/>
      <c r="B820" s="28"/>
      <c r="C820" s="38"/>
      <c r="D820" s="42"/>
      <c r="E820" s="42"/>
    </row>
    <row r="821" ht="15.0" customHeight="1">
      <c r="A821" s="28"/>
      <c r="B821" s="28"/>
      <c r="C821" s="38"/>
      <c r="D821" s="42"/>
      <c r="E821" s="42"/>
    </row>
    <row r="822" ht="15.0" customHeight="1">
      <c r="A822" s="28"/>
      <c r="B822" s="28"/>
      <c r="C822" s="38"/>
      <c r="D822" s="42"/>
      <c r="E822" s="42"/>
    </row>
    <row r="823" ht="15.0" customHeight="1">
      <c r="A823" s="28"/>
      <c r="B823" s="28"/>
      <c r="C823" s="38"/>
      <c r="D823" s="42"/>
      <c r="E823" s="42"/>
    </row>
    <row r="824" ht="15.0" customHeight="1">
      <c r="A824" s="28"/>
      <c r="B824" s="28"/>
      <c r="C824" s="38"/>
      <c r="D824" s="42"/>
      <c r="E824" s="42"/>
    </row>
    <row r="825" ht="15.0" customHeight="1">
      <c r="A825" s="28"/>
      <c r="B825" s="28"/>
      <c r="C825" s="38"/>
      <c r="D825" s="42"/>
      <c r="E825" s="42"/>
    </row>
    <row r="826" ht="15.0" customHeight="1">
      <c r="A826" s="28"/>
      <c r="B826" s="28"/>
      <c r="C826" s="38"/>
      <c r="D826" s="42"/>
      <c r="E826" s="42"/>
    </row>
    <row r="827" ht="15.0" customHeight="1">
      <c r="A827" s="28"/>
      <c r="B827" s="28"/>
      <c r="C827" s="38"/>
      <c r="D827" s="42"/>
      <c r="E827" s="42"/>
    </row>
    <row r="828" ht="15.0" customHeight="1">
      <c r="A828" s="28"/>
      <c r="B828" s="28"/>
      <c r="C828" s="38"/>
      <c r="D828" s="42"/>
      <c r="E828" s="42"/>
    </row>
    <row r="829" ht="15.0" customHeight="1">
      <c r="A829" s="28"/>
      <c r="B829" s="28"/>
      <c r="C829" s="38"/>
      <c r="D829" s="42"/>
      <c r="E829" s="42"/>
    </row>
    <row r="830" ht="15.0" customHeight="1">
      <c r="A830" s="28"/>
      <c r="B830" s="28"/>
      <c r="C830" s="38"/>
      <c r="D830" s="42"/>
      <c r="E830" s="42"/>
    </row>
    <row r="831" ht="15.0" customHeight="1">
      <c r="A831" s="28"/>
      <c r="B831" s="28"/>
      <c r="C831" s="38"/>
      <c r="D831" s="42"/>
      <c r="E831" s="42"/>
    </row>
    <row r="832" ht="15.0" customHeight="1">
      <c r="A832" s="28"/>
      <c r="B832" s="28"/>
      <c r="C832" s="38"/>
      <c r="D832" s="42"/>
      <c r="E832" s="42"/>
    </row>
    <row r="833" ht="15.0" customHeight="1">
      <c r="A833" s="28"/>
      <c r="B833" s="28"/>
      <c r="C833" s="38"/>
      <c r="D833" s="42"/>
      <c r="E833" s="42"/>
    </row>
    <row r="834" ht="15.0" customHeight="1">
      <c r="A834" s="28"/>
      <c r="B834" s="28"/>
      <c r="C834" s="38"/>
      <c r="D834" s="42"/>
      <c r="E834" s="42"/>
    </row>
    <row r="835" ht="15.0" customHeight="1">
      <c r="A835" s="28"/>
      <c r="B835" s="28"/>
      <c r="C835" s="38"/>
      <c r="D835" s="42"/>
      <c r="E835" s="42"/>
    </row>
    <row r="836" ht="15.0" customHeight="1">
      <c r="A836" s="28"/>
      <c r="B836" s="28"/>
      <c r="C836" s="38"/>
      <c r="D836" s="42"/>
      <c r="E836" s="42"/>
    </row>
    <row r="837" ht="15.0" customHeight="1">
      <c r="A837" s="28"/>
      <c r="B837" s="28"/>
      <c r="C837" s="38"/>
      <c r="D837" s="42"/>
      <c r="E837" s="42"/>
    </row>
    <row r="838" ht="15.0" customHeight="1">
      <c r="A838" s="28"/>
      <c r="B838" s="28"/>
      <c r="C838" s="38"/>
      <c r="D838" s="42"/>
      <c r="E838" s="42"/>
    </row>
    <row r="839" ht="15.0" customHeight="1">
      <c r="A839" s="28"/>
      <c r="B839" s="28"/>
      <c r="C839" s="38"/>
      <c r="D839" s="42"/>
      <c r="E839" s="42"/>
    </row>
    <row r="840" ht="15.0" customHeight="1">
      <c r="A840" s="28"/>
      <c r="B840" s="28"/>
      <c r="C840" s="38"/>
      <c r="D840" s="42"/>
      <c r="E840" s="42"/>
    </row>
    <row r="841" ht="15.0" customHeight="1">
      <c r="A841" s="28"/>
      <c r="B841" s="28"/>
      <c r="C841" s="38"/>
      <c r="D841" s="42"/>
      <c r="E841" s="42"/>
    </row>
    <row r="842" ht="15.0" customHeight="1">
      <c r="A842" s="28"/>
      <c r="B842" s="28"/>
      <c r="C842" s="38"/>
      <c r="D842" s="42"/>
      <c r="E842" s="42"/>
    </row>
    <row r="843" ht="15.0" customHeight="1">
      <c r="A843" s="28"/>
      <c r="B843" s="28"/>
      <c r="C843" s="38"/>
      <c r="D843" s="42"/>
      <c r="E843" s="42"/>
    </row>
    <row r="844" ht="15.0" customHeight="1">
      <c r="A844" s="28"/>
      <c r="B844" s="28"/>
      <c r="C844" s="38"/>
      <c r="D844" s="42"/>
      <c r="E844" s="42"/>
    </row>
    <row r="845" ht="15.0" customHeight="1">
      <c r="A845" s="28"/>
      <c r="B845" s="28"/>
      <c r="C845" s="38"/>
      <c r="D845" s="42"/>
      <c r="E845" s="42"/>
    </row>
    <row r="846" ht="15.0" customHeight="1">
      <c r="A846" s="28"/>
      <c r="B846" s="28"/>
      <c r="C846" s="38"/>
      <c r="D846" s="42"/>
      <c r="E846" s="42"/>
    </row>
    <row r="847" ht="15.0" customHeight="1">
      <c r="A847" s="28"/>
      <c r="B847" s="28"/>
      <c r="C847" s="38"/>
      <c r="D847" s="42"/>
      <c r="E847" s="42"/>
    </row>
    <row r="848" ht="15.0" customHeight="1">
      <c r="A848" s="28"/>
      <c r="B848" s="28"/>
      <c r="C848" s="38"/>
      <c r="D848" s="42"/>
      <c r="E848" s="42"/>
    </row>
    <row r="849" ht="15.0" customHeight="1">
      <c r="A849" s="28"/>
      <c r="B849" s="28"/>
      <c r="C849" s="38"/>
      <c r="D849" s="42"/>
      <c r="E849" s="42"/>
    </row>
    <row r="850" ht="15.0" customHeight="1">
      <c r="A850" s="28"/>
      <c r="B850" s="28"/>
      <c r="C850" s="38"/>
      <c r="D850" s="42"/>
      <c r="E850" s="42"/>
    </row>
    <row r="851" ht="15.0" customHeight="1">
      <c r="A851" s="28"/>
      <c r="B851" s="28"/>
      <c r="C851" s="38"/>
      <c r="D851" s="42"/>
      <c r="E851" s="42"/>
    </row>
    <row r="852" ht="15.0" customHeight="1">
      <c r="A852" s="28"/>
      <c r="B852" s="28"/>
      <c r="C852" s="38"/>
      <c r="D852" s="42"/>
      <c r="E852" s="42"/>
    </row>
    <row r="853" ht="15.0" customHeight="1">
      <c r="A853" s="28"/>
      <c r="B853" s="28"/>
      <c r="C853" s="38"/>
      <c r="D853" s="42"/>
      <c r="E853" s="42"/>
    </row>
    <row r="854" ht="15.0" customHeight="1">
      <c r="A854" s="28"/>
      <c r="B854" s="28"/>
      <c r="C854" s="38"/>
      <c r="D854" s="42"/>
      <c r="E854" s="42"/>
    </row>
    <row r="855" ht="15.0" customHeight="1">
      <c r="A855" s="28"/>
      <c r="B855" s="28"/>
      <c r="C855" s="38"/>
      <c r="D855" s="42"/>
      <c r="E855" s="42"/>
    </row>
    <row r="856" ht="15.0" customHeight="1">
      <c r="A856" s="28"/>
      <c r="B856" s="28"/>
      <c r="C856" s="38"/>
      <c r="D856" s="42"/>
      <c r="E856" s="42"/>
    </row>
    <row r="857" ht="15.0" customHeight="1">
      <c r="A857" s="28"/>
      <c r="B857" s="28"/>
      <c r="C857" s="38"/>
      <c r="D857" s="42"/>
      <c r="E857" s="42"/>
    </row>
    <row r="858" ht="15.0" customHeight="1">
      <c r="A858" s="28"/>
      <c r="B858" s="28"/>
      <c r="C858" s="38"/>
      <c r="D858" s="42"/>
      <c r="E858" s="42"/>
    </row>
    <row r="859" ht="15.0" customHeight="1">
      <c r="A859" s="28"/>
      <c r="B859" s="28"/>
      <c r="C859" s="38"/>
      <c r="D859" s="42"/>
      <c r="E859" s="42"/>
    </row>
    <row r="860" ht="15.0" customHeight="1">
      <c r="A860" s="28"/>
      <c r="B860" s="28"/>
      <c r="C860" s="38"/>
      <c r="D860" s="42"/>
      <c r="E860" s="42"/>
    </row>
    <row r="861" ht="15.0" customHeight="1">
      <c r="A861" s="28"/>
      <c r="B861" s="28"/>
      <c r="C861" s="38"/>
      <c r="D861" s="42"/>
      <c r="E861" s="42"/>
    </row>
    <row r="862" ht="15.0" customHeight="1">
      <c r="A862" s="28"/>
      <c r="B862" s="28"/>
      <c r="C862" s="38"/>
      <c r="D862" s="42"/>
      <c r="E862" s="42"/>
    </row>
    <row r="863" ht="15.0" customHeight="1">
      <c r="A863" s="28"/>
      <c r="B863" s="28"/>
      <c r="C863" s="38"/>
      <c r="D863" s="42"/>
      <c r="E863" s="42"/>
    </row>
    <row r="864" ht="15.0" customHeight="1">
      <c r="A864" s="28"/>
      <c r="B864" s="28"/>
      <c r="C864" s="38"/>
      <c r="D864" s="42"/>
      <c r="E864" s="42"/>
    </row>
    <row r="865" ht="15.0" customHeight="1">
      <c r="A865" s="28"/>
      <c r="B865" s="28"/>
      <c r="C865" s="38"/>
      <c r="D865" s="42"/>
      <c r="E865" s="42"/>
    </row>
    <row r="866" ht="15.0" customHeight="1">
      <c r="A866" s="28"/>
      <c r="B866" s="28"/>
      <c r="C866" s="38"/>
      <c r="D866" s="42"/>
      <c r="E866" s="42"/>
    </row>
    <row r="867" ht="15.0" customHeight="1">
      <c r="A867" s="28"/>
      <c r="B867" s="28"/>
      <c r="C867" s="38"/>
      <c r="D867" s="42"/>
      <c r="E867" s="42"/>
    </row>
    <row r="868" ht="15.0" customHeight="1">
      <c r="A868" s="28"/>
      <c r="B868" s="28"/>
      <c r="C868" s="38"/>
      <c r="D868" s="42"/>
      <c r="E868" s="42"/>
    </row>
    <row r="869" ht="15.0" customHeight="1">
      <c r="A869" s="28"/>
      <c r="B869" s="28"/>
      <c r="C869" s="38"/>
      <c r="D869" s="42"/>
      <c r="E869" s="42"/>
    </row>
    <row r="870" ht="15.0" customHeight="1">
      <c r="A870" s="28"/>
      <c r="B870" s="28"/>
      <c r="C870" s="38"/>
      <c r="D870" s="42"/>
      <c r="E870" s="42"/>
    </row>
    <row r="871" ht="15.0" customHeight="1">
      <c r="A871" s="28"/>
      <c r="B871" s="28"/>
      <c r="C871" s="38"/>
      <c r="D871" s="42"/>
      <c r="E871" s="42"/>
    </row>
    <row r="872" ht="15.0" customHeight="1">
      <c r="A872" s="28"/>
      <c r="B872" s="28"/>
      <c r="C872" s="38"/>
      <c r="D872" s="42"/>
      <c r="E872" s="42"/>
    </row>
    <row r="873" ht="15.0" customHeight="1">
      <c r="A873" s="28"/>
      <c r="B873" s="28"/>
      <c r="C873" s="38"/>
      <c r="D873" s="42"/>
      <c r="E873" s="42"/>
    </row>
    <row r="874" ht="15.0" customHeight="1">
      <c r="A874" s="28"/>
      <c r="B874" s="28"/>
      <c r="C874" s="38"/>
      <c r="D874" s="42"/>
      <c r="E874" s="42"/>
    </row>
    <row r="875" ht="15.0" customHeight="1">
      <c r="A875" s="28"/>
      <c r="B875" s="28"/>
      <c r="C875" s="38"/>
      <c r="D875" s="42"/>
      <c r="E875" s="42"/>
    </row>
    <row r="876" ht="15.0" customHeight="1">
      <c r="A876" s="28"/>
      <c r="B876" s="28"/>
      <c r="C876" s="38"/>
      <c r="D876" s="42"/>
      <c r="E876" s="42"/>
    </row>
    <row r="877" ht="15.0" customHeight="1">
      <c r="A877" s="28"/>
      <c r="B877" s="28"/>
      <c r="C877" s="38"/>
      <c r="D877" s="42"/>
      <c r="E877" s="42"/>
    </row>
    <row r="878" ht="15.0" customHeight="1">
      <c r="A878" s="28"/>
      <c r="B878" s="28"/>
      <c r="C878" s="38"/>
      <c r="D878" s="42"/>
      <c r="E878" s="42"/>
    </row>
    <row r="879" ht="15.0" customHeight="1">
      <c r="A879" s="28"/>
      <c r="B879" s="28"/>
      <c r="C879" s="38"/>
      <c r="D879" s="42"/>
      <c r="E879" s="42"/>
    </row>
    <row r="880" ht="15.0" customHeight="1">
      <c r="A880" s="28"/>
      <c r="B880" s="28"/>
      <c r="C880" s="38"/>
      <c r="D880" s="42"/>
      <c r="E880" s="42"/>
    </row>
    <row r="881" ht="15.0" customHeight="1">
      <c r="A881" s="28"/>
      <c r="B881" s="28"/>
      <c r="C881" s="38"/>
      <c r="D881" s="42"/>
      <c r="E881" s="42"/>
    </row>
    <row r="882" ht="15.0" customHeight="1">
      <c r="A882" s="28"/>
      <c r="B882" s="28"/>
      <c r="C882" s="38"/>
      <c r="D882" s="42"/>
      <c r="E882" s="42"/>
    </row>
    <row r="883" ht="15.0" customHeight="1">
      <c r="A883" s="28"/>
      <c r="B883" s="28"/>
      <c r="C883" s="38"/>
      <c r="D883" s="42"/>
      <c r="E883" s="42"/>
    </row>
    <row r="884" ht="15.0" customHeight="1">
      <c r="A884" s="28"/>
      <c r="B884" s="28"/>
      <c r="C884" s="38"/>
      <c r="D884" s="42"/>
      <c r="E884" s="42"/>
    </row>
    <row r="885" ht="15.0" customHeight="1">
      <c r="A885" s="28"/>
      <c r="B885" s="28"/>
      <c r="C885" s="38"/>
      <c r="D885" s="42"/>
      <c r="E885" s="42"/>
    </row>
    <row r="886" ht="15.0" customHeight="1">
      <c r="A886" s="28"/>
      <c r="B886" s="28"/>
      <c r="C886" s="38"/>
      <c r="D886" s="42"/>
      <c r="E886" s="42"/>
    </row>
    <row r="887" ht="15.0" customHeight="1">
      <c r="A887" s="28"/>
      <c r="B887" s="28"/>
      <c r="C887" s="38"/>
      <c r="D887" s="42"/>
      <c r="E887" s="42"/>
    </row>
    <row r="888" ht="15.0" customHeight="1">
      <c r="A888" s="28"/>
      <c r="B888" s="28"/>
      <c r="C888" s="38"/>
      <c r="D888" s="42"/>
      <c r="E888" s="42"/>
    </row>
    <row r="889" ht="15.0" customHeight="1">
      <c r="A889" s="28"/>
      <c r="B889" s="28"/>
      <c r="C889" s="38"/>
      <c r="D889" s="42"/>
      <c r="E889" s="42"/>
    </row>
    <row r="890" ht="15.0" customHeight="1">
      <c r="A890" s="28"/>
      <c r="B890" s="28"/>
      <c r="C890" s="38"/>
      <c r="D890" s="42"/>
      <c r="E890" s="42"/>
    </row>
    <row r="891" ht="15.0" customHeight="1">
      <c r="A891" s="28"/>
      <c r="B891" s="28"/>
      <c r="C891" s="38"/>
      <c r="D891" s="42"/>
      <c r="E891" s="42"/>
    </row>
    <row r="892" ht="15.0" customHeight="1">
      <c r="A892" s="28"/>
      <c r="B892" s="28"/>
      <c r="C892" s="38"/>
      <c r="D892" s="42"/>
      <c r="E892" s="42"/>
    </row>
    <row r="893" ht="15.0" customHeight="1">
      <c r="A893" s="28"/>
      <c r="B893" s="28"/>
      <c r="C893" s="38"/>
      <c r="D893" s="42"/>
      <c r="E893" s="42"/>
    </row>
    <row r="894" ht="15.0" customHeight="1">
      <c r="A894" s="28"/>
      <c r="B894" s="28"/>
      <c r="C894" s="38"/>
      <c r="D894" s="42"/>
      <c r="E894" s="42"/>
    </row>
    <row r="895" ht="15.0" customHeight="1">
      <c r="A895" s="28"/>
      <c r="B895" s="28"/>
      <c r="C895" s="38"/>
      <c r="D895" s="42"/>
      <c r="E895" s="42"/>
    </row>
    <row r="896" ht="15.0" customHeight="1">
      <c r="A896" s="28"/>
      <c r="B896" s="28"/>
      <c r="C896" s="38"/>
      <c r="D896" s="42"/>
      <c r="E896" s="42"/>
    </row>
    <row r="897" ht="15.0" customHeight="1">
      <c r="A897" s="28"/>
      <c r="B897" s="28"/>
      <c r="C897" s="38"/>
      <c r="D897" s="42"/>
      <c r="E897" s="42"/>
    </row>
    <row r="898" ht="15.0" customHeight="1">
      <c r="A898" s="28"/>
      <c r="B898" s="28"/>
      <c r="C898" s="38"/>
      <c r="D898" s="42"/>
      <c r="E898" s="42"/>
    </row>
    <row r="899" ht="15.0" customHeight="1">
      <c r="A899" s="28"/>
      <c r="B899" s="28"/>
      <c r="C899" s="38"/>
      <c r="D899" s="42"/>
      <c r="E899" s="42"/>
    </row>
    <row r="900" ht="15.0" customHeight="1">
      <c r="A900" s="28"/>
      <c r="B900" s="28"/>
      <c r="C900" s="38"/>
      <c r="D900" s="42"/>
      <c r="E900" s="42"/>
    </row>
    <row r="901" ht="15.0" customHeight="1">
      <c r="A901" s="28"/>
      <c r="B901" s="28"/>
      <c r="C901" s="38"/>
      <c r="D901" s="42"/>
      <c r="E901" s="42"/>
    </row>
    <row r="902" ht="15.0" customHeight="1">
      <c r="A902" s="28"/>
      <c r="B902" s="28"/>
      <c r="C902" s="38"/>
      <c r="D902" s="42"/>
      <c r="E902" s="42"/>
    </row>
    <row r="903" ht="15.0" customHeight="1">
      <c r="A903" s="28"/>
      <c r="B903" s="28"/>
      <c r="C903" s="38"/>
      <c r="D903" s="42"/>
      <c r="E903" s="42"/>
    </row>
    <row r="904" ht="15.0" customHeight="1">
      <c r="A904" s="28"/>
      <c r="B904" s="28"/>
      <c r="C904" s="38"/>
      <c r="D904" s="42"/>
      <c r="E904" s="42"/>
    </row>
    <row r="905" ht="15.0" customHeight="1">
      <c r="A905" s="28"/>
      <c r="B905" s="28"/>
      <c r="C905" s="38"/>
      <c r="D905" s="42"/>
      <c r="E905" s="42"/>
    </row>
    <row r="906" ht="15.0" customHeight="1">
      <c r="A906" s="28"/>
      <c r="B906" s="28"/>
      <c r="C906" s="38"/>
      <c r="D906" s="42"/>
      <c r="E906" s="42"/>
    </row>
    <row r="907" ht="15.0" customHeight="1">
      <c r="A907" s="28"/>
      <c r="B907" s="28"/>
      <c r="C907" s="38"/>
      <c r="D907" s="42"/>
      <c r="E907" s="42"/>
    </row>
    <row r="908" ht="15.0" customHeight="1">
      <c r="A908" s="28"/>
      <c r="B908" s="28"/>
      <c r="C908" s="38"/>
      <c r="D908" s="42"/>
      <c r="E908" s="42"/>
    </row>
    <row r="909" ht="15.0" customHeight="1">
      <c r="A909" s="28"/>
      <c r="B909" s="28"/>
      <c r="C909" s="38"/>
      <c r="D909" s="42"/>
      <c r="E909" s="42"/>
    </row>
    <row r="910" ht="15.0" customHeight="1">
      <c r="A910" s="28"/>
      <c r="B910" s="28"/>
      <c r="C910" s="38"/>
      <c r="D910" s="42"/>
      <c r="E910" s="42"/>
    </row>
    <row r="911" ht="15.0" customHeight="1">
      <c r="A911" s="28"/>
      <c r="B911" s="28"/>
      <c r="C911" s="38"/>
      <c r="D911" s="42"/>
      <c r="E911" s="42"/>
    </row>
    <row r="912" ht="15.0" customHeight="1">
      <c r="A912" s="28"/>
      <c r="B912" s="28"/>
      <c r="C912" s="38"/>
      <c r="D912" s="42"/>
      <c r="E912" s="42"/>
    </row>
    <row r="913" ht="15.0" customHeight="1">
      <c r="A913" s="28"/>
      <c r="B913" s="28"/>
      <c r="C913" s="38"/>
      <c r="D913" s="42"/>
      <c r="E913" s="42"/>
    </row>
    <row r="914" ht="15.0" customHeight="1">
      <c r="A914" s="28"/>
      <c r="B914" s="28"/>
      <c r="C914" s="38"/>
      <c r="D914" s="42"/>
      <c r="E914" s="42"/>
    </row>
    <row r="915" ht="15.0" customHeight="1">
      <c r="A915" s="28"/>
      <c r="B915" s="28"/>
      <c r="C915" s="38"/>
      <c r="D915" s="42"/>
      <c r="E915" s="42"/>
    </row>
    <row r="916" ht="15.0" customHeight="1">
      <c r="A916" s="28"/>
      <c r="B916" s="28"/>
      <c r="C916" s="38"/>
      <c r="D916" s="42"/>
      <c r="E916" s="42"/>
    </row>
    <row r="917" ht="15.0" customHeight="1">
      <c r="A917" s="28"/>
      <c r="B917" s="28"/>
      <c r="C917" s="38"/>
      <c r="D917" s="42"/>
      <c r="E917" s="42"/>
    </row>
    <row r="918" ht="15.0" customHeight="1">
      <c r="A918" s="28"/>
      <c r="B918" s="28"/>
      <c r="C918" s="38"/>
      <c r="D918" s="42"/>
      <c r="E918" s="42"/>
    </row>
    <row r="919" ht="15.0" customHeight="1">
      <c r="A919" s="28"/>
      <c r="B919" s="28"/>
      <c r="C919" s="38"/>
      <c r="D919" s="42"/>
      <c r="E919" s="42"/>
    </row>
    <row r="920" ht="15.0" customHeight="1">
      <c r="A920" s="28"/>
      <c r="B920" s="28"/>
      <c r="C920" s="38"/>
      <c r="D920" s="42"/>
      <c r="E920" s="42"/>
    </row>
    <row r="921" ht="15.0" customHeight="1">
      <c r="A921" s="28"/>
      <c r="B921" s="28"/>
      <c r="C921" s="38"/>
      <c r="D921" s="42"/>
      <c r="E921" s="42"/>
    </row>
    <row r="922" ht="15.0" customHeight="1">
      <c r="A922" s="28"/>
      <c r="B922" s="28"/>
      <c r="C922" s="38"/>
      <c r="D922" s="42"/>
      <c r="E922" s="42"/>
    </row>
    <row r="923" ht="15.0" customHeight="1">
      <c r="A923" s="28"/>
      <c r="B923" s="28"/>
      <c r="C923" s="38"/>
      <c r="D923" s="42"/>
      <c r="E923" s="42"/>
    </row>
    <row r="924" ht="15.0" customHeight="1">
      <c r="A924" s="28"/>
      <c r="B924" s="28"/>
      <c r="C924" s="38"/>
      <c r="D924" s="42"/>
      <c r="E924" s="42"/>
    </row>
    <row r="925" ht="15.0" customHeight="1">
      <c r="A925" s="28"/>
      <c r="B925" s="28"/>
      <c r="C925" s="38"/>
      <c r="D925" s="42"/>
      <c r="E925" s="42"/>
    </row>
    <row r="926" ht="15.0" customHeight="1">
      <c r="A926" s="28"/>
      <c r="B926" s="28"/>
      <c r="C926" s="38"/>
      <c r="D926" s="42"/>
      <c r="E926" s="42"/>
    </row>
    <row r="927" ht="15.0" customHeight="1">
      <c r="A927" s="28"/>
      <c r="B927" s="28"/>
      <c r="C927" s="38"/>
      <c r="D927" s="42"/>
      <c r="E927" s="42"/>
    </row>
    <row r="928" ht="15.0" customHeight="1">
      <c r="A928" s="28"/>
      <c r="B928" s="28"/>
      <c r="C928" s="38"/>
      <c r="D928" s="42"/>
      <c r="E928" s="42"/>
    </row>
    <row r="929" ht="15.0" customHeight="1">
      <c r="A929" s="28"/>
      <c r="B929" s="28"/>
      <c r="C929" s="38"/>
      <c r="D929" s="42"/>
      <c r="E929" s="42"/>
    </row>
    <row r="930" ht="15.0" customHeight="1">
      <c r="A930" s="28"/>
      <c r="B930" s="28"/>
      <c r="C930" s="38"/>
      <c r="D930" s="42"/>
      <c r="E930" s="42"/>
    </row>
    <row r="931" ht="15.0" customHeight="1">
      <c r="A931" s="28"/>
      <c r="B931" s="28"/>
      <c r="C931" s="38"/>
      <c r="D931" s="42"/>
      <c r="E931" s="42"/>
    </row>
    <row r="932" ht="15.0" customHeight="1">
      <c r="A932" s="28"/>
      <c r="B932" s="28"/>
      <c r="C932" s="38"/>
      <c r="D932" s="42"/>
      <c r="E932" s="42"/>
    </row>
    <row r="933" ht="15.0" customHeight="1">
      <c r="A933" s="28"/>
      <c r="B933" s="28"/>
      <c r="C933" s="38"/>
      <c r="D933" s="42"/>
      <c r="E933" s="42"/>
    </row>
    <row r="934" ht="15.0" customHeight="1">
      <c r="A934" s="28"/>
      <c r="B934" s="28"/>
      <c r="C934" s="38"/>
      <c r="D934" s="42"/>
      <c r="E934" s="42"/>
    </row>
    <row r="935" ht="15.0" customHeight="1">
      <c r="A935" s="28"/>
      <c r="B935" s="28"/>
      <c r="C935" s="38"/>
      <c r="D935" s="42"/>
      <c r="E935" s="42"/>
    </row>
    <row r="936" ht="15.0" customHeight="1">
      <c r="A936" s="28"/>
      <c r="B936" s="28"/>
      <c r="C936" s="38"/>
      <c r="D936" s="42"/>
      <c r="E936" s="42"/>
    </row>
    <row r="937" ht="15.0" customHeight="1">
      <c r="A937" s="28"/>
      <c r="B937" s="28"/>
      <c r="C937" s="38"/>
      <c r="D937" s="42"/>
      <c r="E937" s="42"/>
    </row>
    <row r="938" ht="15.0" customHeight="1">
      <c r="A938" s="28"/>
      <c r="B938" s="28"/>
      <c r="C938" s="38"/>
      <c r="D938" s="42"/>
      <c r="E938" s="42"/>
    </row>
    <row r="939" ht="15.0" customHeight="1">
      <c r="A939" s="28"/>
      <c r="B939" s="28"/>
      <c r="C939" s="38"/>
      <c r="D939" s="42"/>
      <c r="E939" s="42"/>
    </row>
    <row r="940" ht="15.0" customHeight="1">
      <c r="A940" s="28"/>
      <c r="B940" s="28"/>
      <c r="C940" s="38"/>
      <c r="D940" s="42"/>
      <c r="E940" s="42"/>
    </row>
    <row r="941" ht="15.0" customHeight="1">
      <c r="A941" s="28"/>
      <c r="B941" s="28"/>
      <c r="C941" s="38"/>
      <c r="D941" s="42"/>
      <c r="E941" s="42"/>
    </row>
    <row r="942" ht="15.0" customHeight="1">
      <c r="A942" s="28"/>
      <c r="B942" s="28"/>
      <c r="C942" s="38"/>
      <c r="D942" s="42"/>
      <c r="E942" s="42"/>
    </row>
    <row r="943" ht="15.0" customHeight="1">
      <c r="A943" s="28"/>
      <c r="B943" s="28"/>
      <c r="C943" s="38"/>
      <c r="D943" s="42"/>
      <c r="E943" s="42"/>
    </row>
    <row r="944" ht="15.0" customHeight="1">
      <c r="A944" s="28"/>
      <c r="B944" s="28"/>
      <c r="C944" s="38"/>
      <c r="D944" s="42"/>
      <c r="E944" s="42"/>
    </row>
    <row r="945" ht="15.0" customHeight="1">
      <c r="A945" s="28"/>
      <c r="B945" s="28"/>
      <c r="C945" s="38"/>
      <c r="D945" s="42"/>
      <c r="E945" s="42"/>
    </row>
    <row r="946" ht="15.0" customHeight="1">
      <c r="A946" s="28"/>
      <c r="B946" s="28"/>
      <c r="C946" s="38"/>
      <c r="D946" s="42"/>
      <c r="E946" s="42"/>
    </row>
    <row r="947" ht="15.0" customHeight="1">
      <c r="A947" s="28"/>
      <c r="B947" s="28"/>
      <c r="C947" s="38"/>
      <c r="D947" s="42"/>
      <c r="E947" s="42"/>
    </row>
    <row r="948" ht="15.0" customHeight="1">
      <c r="A948" s="28"/>
      <c r="B948" s="28"/>
      <c r="C948" s="38"/>
      <c r="D948" s="42"/>
      <c r="E948" s="42"/>
    </row>
    <row r="949" ht="15.0" customHeight="1">
      <c r="A949" s="28"/>
      <c r="B949" s="28"/>
      <c r="C949" s="38"/>
      <c r="D949" s="42"/>
      <c r="E949" s="42"/>
    </row>
    <row r="950" ht="15.0" customHeight="1">
      <c r="A950" s="28"/>
      <c r="B950" s="28"/>
      <c r="C950" s="38"/>
      <c r="D950" s="42"/>
      <c r="E950" s="42"/>
    </row>
    <row r="951" ht="15.0" customHeight="1">
      <c r="A951" s="28"/>
      <c r="B951" s="28"/>
      <c r="C951" s="38"/>
      <c r="D951" s="42"/>
      <c r="E951" s="42"/>
    </row>
    <row r="952" ht="15.0" customHeight="1">
      <c r="A952" s="28"/>
      <c r="B952" s="28"/>
      <c r="C952" s="38"/>
      <c r="D952" s="42"/>
      <c r="E952" s="42"/>
    </row>
    <row r="953" ht="15.0" customHeight="1">
      <c r="A953" s="28"/>
      <c r="B953" s="28"/>
      <c r="C953" s="38"/>
      <c r="D953" s="42"/>
      <c r="E953" s="42"/>
    </row>
    <row r="954" ht="15.0" customHeight="1">
      <c r="A954" s="28"/>
      <c r="B954" s="28"/>
      <c r="C954" s="38"/>
      <c r="D954" s="42"/>
      <c r="E954" s="42"/>
    </row>
    <row r="955" ht="15.0" customHeight="1">
      <c r="A955" s="28"/>
      <c r="B955" s="28"/>
      <c r="C955" s="38"/>
      <c r="D955" s="42"/>
      <c r="E955" s="42"/>
    </row>
    <row r="956" ht="15.0" customHeight="1">
      <c r="A956" s="28"/>
      <c r="B956" s="28"/>
      <c r="C956" s="38"/>
      <c r="D956" s="42"/>
      <c r="E956" s="42"/>
    </row>
    <row r="957" ht="15.0" customHeight="1">
      <c r="A957" s="28"/>
      <c r="B957" s="28"/>
      <c r="C957" s="38"/>
      <c r="D957" s="42"/>
      <c r="E957" s="42"/>
    </row>
    <row r="958" ht="15.0" customHeight="1">
      <c r="A958" s="28"/>
      <c r="B958" s="28"/>
      <c r="C958" s="38"/>
      <c r="D958" s="42"/>
      <c r="E958" s="42"/>
    </row>
    <row r="959" ht="15.0" customHeight="1">
      <c r="A959" s="28"/>
      <c r="B959" s="28"/>
      <c r="C959" s="38"/>
      <c r="D959" s="42"/>
      <c r="E959" s="42"/>
    </row>
    <row r="960" ht="15.0" customHeight="1">
      <c r="A960" s="28"/>
      <c r="B960" s="28"/>
      <c r="C960" s="38"/>
      <c r="D960" s="42"/>
      <c r="E960" s="42"/>
    </row>
    <row r="961" ht="15.0" customHeight="1">
      <c r="A961" s="28"/>
      <c r="B961" s="28"/>
      <c r="C961" s="38"/>
      <c r="D961" s="42"/>
      <c r="E961" s="42"/>
    </row>
    <row r="962" ht="15.0" customHeight="1">
      <c r="A962" s="28"/>
      <c r="B962" s="28"/>
      <c r="C962" s="38"/>
      <c r="D962" s="42"/>
      <c r="E962" s="42"/>
    </row>
    <row r="963" ht="15.0" customHeight="1">
      <c r="A963" s="28"/>
      <c r="B963" s="28"/>
      <c r="C963" s="38"/>
      <c r="D963" s="42"/>
      <c r="E963" s="42"/>
    </row>
    <row r="964" ht="15.0" customHeight="1">
      <c r="A964" s="28"/>
      <c r="B964" s="28"/>
      <c r="C964" s="38"/>
      <c r="D964" s="42"/>
      <c r="E964" s="42"/>
    </row>
    <row r="965" ht="15.0" customHeight="1">
      <c r="A965" s="28"/>
      <c r="B965" s="28"/>
      <c r="C965" s="38"/>
      <c r="D965" s="42"/>
      <c r="E965" s="42"/>
    </row>
    <row r="966" ht="15.0" customHeight="1">
      <c r="A966" s="28"/>
      <c r="B966" s="28"/>
      <c r="C966" s="38"/>
      <c r="D966" s="42"/>
      <c r="E966" s="42"/>
    </row>
    <row r="967" ht="15.0" customHeight="1">
      <c r="A967" s="28"/>
      <c r="B967" s="28"/>
      <c r="C967" s="38"/>
      <c r="D967" s="42"/>
      <c r="E967" s="42"/>
    </row>
    <row r="968" ht="15.0" customHeight="1">
      <c r="A968" s="28"/>
      <c r="B968" s="28"/>
      <c r="C968" s="38"/>
      <c r="D968" s="42"/>
      <c r="E968" s="42"/>
    </row>
    <row r="969" ht="15.0" customHeight="1">
      <c r="A969" s="28"/>
      <c r="B969" s="28"/>
      <c r="C969" s="38"/>
      <c r="D969" s="42"/>
      <c r="E969" s="42"/>
    </row>
    <row r="970" ht="15.0" customHeight="1">
      <c r="A970" s="28"/>
      <c r="B970" s="28"/>
      <c r="C970" s="38"/>
      <c r="D970" s="42"/>
      <c r="E970" s="42"/>
    </row>
    <row r="971" ht="15.0" customHeight="1">
      <c r="A971" s="28"/>
      <c r="B971" s="28"/>
      <c r="C971" s="38"/>
      <c r="D971" s="42"/>
      <c r="E971" s="42"/>
    </row>
    <row r="972" ht="15.0" customHeight="1">
      <c r="A972" s="28"/>
      <c r="B972" s="28"/>
      <c r="C972" s="38"/>
      <c r="D972" s="42"/>
      <c r="E972" s="42"/>
    </row>
    <row r="973" ht="15.0" customHeight="1">
      <c r="A973" s="28"/>
      <c r="B973" s="28"/>
      <c r="C973" s="38"/>
      <c r="D973" s="42"/>
      <c r="E973" s="42"/>
    </row>
    <row r="974" ht="15.0" customHeight="1">
      <c r="A974" s="28"/>
      <c r="B974" s="28"/>
      <c r="C974" s="38"/>
      <c r="D974" s="42"/>
      <c r="E974" s="42"/>
    </row>
    <row r="975" ht="15.0" customHeight="1">
      <c r="A975" s="28"/>
      <c r="B975" s="28"/>
      <c r="C975" s="38"/>
      <c r="D975" s="42"/>
      <c r="E975" s="42"/>
    </row>
    <row r="976" ht="15.0" customHeight="1">
      <c r="A976" s="28"/>
      <c r="B976" s="28"/>
      <c r="C976" s="38"/>
      <c r="D976" s="42"/>
      <c r="E976" s="42"/>
    </row>
    <row r="977" ht="15.0" customHeight="1">
      <c r="A977" s="28"/>
      <c r="B977" s="28"/>
      <c r="C977" s="38"/>
      <c r="D977" s="42"/>
      <c r="E977" s="42"/>
    </row>
    <row r="978" ht="15.0" customHeight="1">
      <c r="A978" s="28"/>
      <c r="B978" s="28"/>
      <c r="C978" s="38"/>
      <c r="D978" s="42"/>
      <c r="E978" s="42"/>
    </row>
    <row r="979" ht="15.0" customHeight="1">
      <c r="A979" s="28"/>
      <c r="B979" s="28"/>
      <c r="C979" s="38"/>
      <c r="D979" s="42"/>
      <c r="E979" s="42"/>
    </row>
    <row r="980" ht="15.0" customHeight="1">
      <c r="A980" s="28"/>
      <c r="B980" s="28"/>
      <c r="C980" s="38"/>
      <c r="D980" s="42"/>
      <c r="E980" s="42"/>
    </row>
    <row r="981" ht="15.0" customHeight="1">
      <c r="A981" s="28"/>
      <c r="B981" s="28"/>
      <c r="C981" s="38"/>
      <c r="D981" s="42"/>
      <c r="E981" s="42"/>
    </row>
    <row r="982" ht="15.0" customHeight="1">
      <c r="A982" s="28"/>
      <c r="B982" s="28"/>
      <c r="C982" s="38"/>
      <c r="D982" s="42"/>
      <c r="E982" s="42"/>
    </row>
    <row r="983" ht="15.0" customHeight="1">
      <c r="A983" s="28"/>
      <c r="B983" s="28"/>
      <c r="C983" s="38"/>
      <c r="D983" s="42"/>
      <c r="E983" s="42"/>
    </row>
    <row r="984" ht="15.0" customHeight="1">
      <c r="A984" s="28"/>
      <c r="B984" s="28"/>
      <c r="C984" s="38"/>
      <c r="D984" s="42"/>
      <c r="E984" s="42"/>
    </row>
    <row r="985" ht="15.0" customHeight="1">
      <c r="A985" s="28"/>
      <c r="B985" s="28"/>
      <c r="C985" s="38"/>
      <c r="D985" s="42"/>
      <c r="E985" s="42"/>
    </row>
    <row r="986" ht="15.0" customHeight="1">
      <c r="A986" s="28"/>
      <c r="B986" s="28"/>
      <c r="C986" s="38"/>
      <c r="D986" s="42"/>
      <c r="E986" s="42"/>
    </row>
    <row r="987" ht="15.0" customHeight="1">
      <c r="A987" s="28"/>
      <c r="B987" s="28"/>
      <c r="C987" s="38"/>
      <c r="D987" s="42"/>
      <c r="E987" s="42"/>
    </row>
    <row r="988" ht="15.0" customHeight="1">
      <c r="A988" s="28"/>
      <c r="B988" s="28"/>
      <c r="C988" s="38"/>
      <c r="D988" s="42"/>
      <c r="E988" s="42"/>
    </row>
    <row r="989" ht="15.0" customHeight="1">
      <c r="A989" s="28"/>
      <c r="B989" s="28"/>
      <c r="C989" s="38"/>
      <c r="D989" s="42"/>
      <c r="E989" s="42"/>
    </row>
    <row r="990" ht="15.0" customHeight="1">
      <c r="A990" s="28"/>
      <c r="B990" s="28"/>
      <c r="C990" s="38"/>
      <c r="D990" s="42"/>
      <c r="E990" s="42"/>
    </row>
    <row r="991" ht="15.0" customHeight="1">
      <c r="A991" s="28"/>
      <c r="B991" s="28"/>
      <c r="C991" s="38"/>
      <c r="D991" s="42"/>
      <c r="E991" s="42"/>
    </row>
    <row r="992" ht="15.0" customHeight="1">
      <c r="A992" s="28"/>
      <c r="B992" s="28"/>
      <c r="C992" s="38"/>
      <c r="D992" s="42"/>
      <c r="E992" s="42"/>
    </row>
    <row r="993" ht="15.0" customHeight="1">
      <c r="A993" s="28"/>
      <c r="B993" s="28"/>
      <c r="C993" s="38"/>
      <c r="D993" s="42"/>
      <c r="E993" s="42"/>
    </row>
    <row r="994" ht="15.0" customHeight="1">
      <c r="A994" s="28"/>
      <c r="B994" s="28"/>
      <c r="C994" s="38"/>
      <c r="D994" s="42"/>
      <c r="E994" s="42"/>
    </row>
    <row r="995" ht="15.0" customHeight="1">
      <c r="A995" s="28"/>
      <c r="B995" s="28"/>
      <c r="C995" s="38"/>
      <c r="D995" s="42"/>
      <c r="E995" s="42"/>
    </row>
    <row r="996" ht="15.0" customHeight="1">
      <c r="A996" s="28"/>
      <c r="B996" s="28"/>
      <c r="C996" s="38"/>
      <c r="D996" s="42"/>
      <c r="E996" s="42"/>
    </row>
    <row r="997" ht="15.0" customHeight="1">
      <c r="A997" s="28"/>
      <c r="B997" s="28"/>
      <c r="C997" s="38"/>
      <c r="D997" s="42"/>
      <c r="E997" s="42"/>
    </row>
    <row r="998" ht="15.0" customHeight="1">
      <c r="A998" s="28"/>
      <c r="B998" s="28"/>
      <c r="C998" s="38"/>
      <c r="D998" s="42"/>
      <c r="E998" s="42"/>
    </row>
    <row r="999" ht="15.0" customHeight="1">
      <c r="A999" s="28"/>
      <c r="B999" s="28"/>
      <c r="C999" s="38"/>
      <c r="D999" s="42"/>
      <c r="E999" s="42"/>
    </row>
    <row r="1000" ht="15.0" customHeight="1">
      <c r="A1000" s="28"/>
      <c r="B1000" s="28"/>
      <c r="C1000" s="38"/>
      <c r="D1000" s="42"/>
      <c r="E1000" s="42"/>
    </row>
    <row r="1001" ht="15.0" customHeight="1">
      <c r="A1001" s="28"/>
      <c r="B1001" s="28"/>
      <c r="C1001" s="38"/>
      <c r="D1001" s="42"/>
      <c r="E1001" s="42"/>
    </row>
    <row r="1002" ht="15.0" customHeight="1">
      <c r="A1002" s="28"/>
      <c r="B1002" s="28"/>
      <c r="C1002" s="38"/>
      <c r="D1002" s="42"/>
      <c r="E1002" s="42"/>
    </row>
    <row r="1003" ht="15.0" customHeight="1">
      <c r="A1003" s="28"/>
      <c r="B1003" s="28"/>
      <c r="C1003" s="38"/>
      <c r="D1003" s="42"/>
      <c r="E1003" s="42"/>
    </row>
    <row r="1004" ht="15.0" customHeight="1">
      <c r="A1004" s="28"/>
      <c r="B1004" s="28"/>
      <c r="C1004" s="38"/>
      <c r="D1004" s="42"/>
      <c r="E1004" s="42"/>
    </row>
    <row r="1005" ht="15.0" customHeight="1">
      <c r="A1005" s="28"/>
      <c r="B1005" s="28"/>
      <c r="C1005" s="38"/>
      <c r="D1005" s="42"/>
      <c r="E1005" s="42"/>
    </row>
    <row r="1006" ht="15.0" customHeight="1">
      <c r="A1006" s="28"/>
      <c r="B1006" s="28"/>
      <c r="C1006" s="38"/>
      <c r="D1006" s="42"/>
      <c r="E1006" s="42"/>
    </row>
    <row r="1007" ht="15.0" customHeight="1">
      <c r="A1007" s="28"/>
      <c r="B1007" s="28"/>
      <c r="C1007" s="38"/>
      <c r="D1007" s="42"/>
      <c r="E1007" s="42"/>
    </row>
    <row r="1008" ht="15.0" customHeight="1">
      <c r="A1008" s="28"/>
      <c r="B1008" s="28"/>
      <c r="C1008" s="38"/>
      <c r="D1008" s="42"/>
      <c r="E1008" s="42"/>
    </row>
    <row r="1009" ht="15.0" customHeight="1">
      <c r="A1009" s="28"/>
      <c r="B1009" s="28"/>
      <c r="C1009" s="38"/>
      <c r="D1009" s="42"/>
      <c r="E1009" s="42"/>
    </row>
    <row r="1010" ht="15.0" customHeight="1">
      <c r="A1010" s="28"/>
      <c r="B1010" s="28"/>
      <c r="C1010" s="38"/>
      <c r="D1010" s="42"/>
      <c r="E1010" s="42"/>
    </row>
    <row r="1011" ht="15.0" customHeight="1">
      <c r="A1011" s="28"/>
      <c r="B1011" s="28"/>
      <c r="C1011" s="38"/>
      <c r="D1011" s="42"/>
      <c r="E1011" s="42"/>
    </row>
    <row r="1012" ht="15.0" customHeight="1">
      <c r="A1012" s="28"/>
      <c r="B1012" s="28"/>
      <c r="C1012" s="38"/>
      <c r="D1012" s="42"/>
      <c r="E1012" s="42"/>
    </row>
    <row r="1013" ht="15.0" customHeight="1">
      <c r="A1013" s="28"/>
      <c r="B1013" s="28"/>
      <c r="C1013" s="38"/>
      <c r="D1013" s="42"/>
      <c r="E1013" s="42"/>
    </row>
    <row r="1014" ht="15.0" customHeight="1">
      <c r="A1014" s="28"/>
      <c r="B1014" s="28"/>
      <c r="C1014" s="38"/>
      <c r="D1014" s="42"/>
      <c r="E1014" s="42"/>
    </row>
    <row r="1015" ht="15.0" customHeight="1">
      <c r="A1015" s="28"/>
      <c r="B1015" s="28"/>
      <c r="C1015" s="38"/>
      <c r="D1015" s="42"/>
      <c r="E1015" s="42"/>
    </row>
    <row r="1016" ht="15.0" customHeight="1">
      <c r="A1016" s="28"/>
      <c r="B1016" s="28"/>
      <c r="C1016" s="38"/>
      <c r="D1016" s="42"/>
      <c r="E1016" s="42"/>
    </row>
    <row r="1017" ht="15.0" customHeight="1">
      <c r="A1017" s="28"/>
      <c r="B1017" s="28"/>
      <c r="C1017" s="38"/>
      <c r="D1017" s="42"/>
      <c r="E1017" s="42"/>
    </row>
    <row r="1018" ht="15.0" customHeight="1">
      <c r="A1018" s="28"/>
      <c r="B1018" s="28"/>
      <c r="C1018" s="38"/>
      <c r="D1018" s="42"/>
      <c r="E1018" s="42"/>
    </row>
    <row r="1019" ht="15.0" customHeight="1">
      <c r="A1019" s="28"/>
      <c r="B1019" s="28"/>
      <c r="C1019" s="38"/>
      <c r="D1019" s="42"/>
      <c r="E1019" s="42"/>
    </row>
    <row r="1020" ht="15.0" customHeight="1">
      <c r="A1020" s="28"/>
      <c r="B1020" s="28"/>
      <c r="C1020" s="38"/>
      <c r="D1020" s="42"/>
      <c r="E1020" s="42"/>
    </row>
    <row r="1021" ht="15.0" customHeight="1">
      <c r="A1021" s="28"/>
      <c r="B1021" s="28"/>
      <c r="C1021" s="38"/>
      <c r="D1021" s="42"/>
      <c r="E1021" s="42"/>
    </row>
    <row r="1022" ht="15.0" customHeight="1">
      <c r="A1022" s="28"/>
      <c r="B1022" s="28"/>
      <c r="C1022" s="38"/>
      <c r="D1022" s="42"/>
      <c r="E1022" s="42"/>
    </row>
    <row r="1023" ht="15.0" customHeight="1">
      <c r="A1023" s="28"/>
      <c r="B1023" s="28"/>
      <c r="C1023" s="38"/>
      <c r="D1023" s="42"/>
      <c r="E1023" s="42"/>
    </row>
    <row r="1024" ht="15.0" customHeight="1">
      <c r="A1024" s="28"/>
      <c r="B1024" s="28"/>
      <c r="C1024" s="38"/>
      <c r="D1024" s="42"/>
      <c r="E1024" s="42"/>
    </row>
    <row r="1025" ht="15.0" customHeight="1">
      <c r="A1025" s="28"/>
      <c r="B1025" s="28"/>
      <c r="C1025" s="38"/>
      <c r="D1025" s="42"/>
      <c r="E1025" s="42"/>
    </row>
    <row r="1026" ht="15.0" customHeight="1">
      <c r="A1026" s="28"/>
      <c r="B1026" s="28"/>
      <c r="C1026" s="38"/>
      <c r="D1026" s="42"/>
      <c r="E1026" s="42"/>
    </row>
    <row r="1027" ht="15.0" customHeight="1">
      <c r="A1027" s="28"/>
      <c r="B1027" s="28"/>
      <c r="C1027" s="38"/>
      <c r="D1027" s="42"/>
      <c r="E1027" s="42"/>
    </row>
    <row r="1028" ht="15.0" customHeight="1">
      <c r="A1028" s="28"/>
      <c r="B1028" s="28"/>
      <c r="C1028" s="38"/>
      <c r="D1028" s="42"/>
      <c r="E1028" s="42"/>
    </row>
    <row r="1029" ht="15.0" customHeight="1">
      <c r="A1029" s="28"/>
      <c r="B1029" s="28"/>
      <c r="C1029" s="38"/>
      <c r="D1029" s="42"/>
      <c r="E1029" s="42"/>
    </row>
    <row r="1030" ht="15.0" customHeight="1">
      <c r="A1030" s="28"/>
      <c r="B1030" s="28"/>
      <c r="C1030" s="38"/>
      <c r="D1030" s="42"/>
      <c r="E1030" s="42"/>
    </row>
    <row r="1031" ht="15.0" customHeight="1">
      <c r="A1031" s="28"/>
      <c r="B1031" s="28"/>
      <c r="C1031" s="38"/>
      <c r="D1031" s="42"/>
      <c r="E1031" s="42"/>
    </row>
    <row r="1032" ht="15.0" customHeight="1">
      <c r="A1032" s="28"/>
      <c r="B1032" s="28"/>
      <c r="C1032" s="38"/>
      <c r="D1032" s="42"/>
      <c r="E1032" s="42"/>
    </row>
    <row r="1033" ht="15.0" customHeight="1">
      <c r="A1033" s="28"/>
      <c r="B1033" s="28"/>
      <c r="C1033" s="38"/>
      <c r="D1033" s="42"/>
      <c r="E1033" s="42"/>
    </row>
    <row r="1034" ht="15.0" customHeight="1">
      <c r="A1034" s="28"/>
      <c r="B1034" s="28"/>
      <c r="C1034" s="38"/>
      <c r="D1034" s="42"/>
      <c r="E1034" s="42"/>
    </row>
    <row r="1035" ht="15.0" customHeight="1">
      <c r="A1035" s="28"/>
      <c r="B1035" s="28"/>
      <c r="C1035" s="38"/>
      <c r="D1035" s="42"/>
      <c r="E1035" s="42"/>
    </row>
    <row r="1036" ht="15.0" customHeight="1">
      <c r="A1036" s="28"/>
      <c r="B1036" s="28"/>
      <c r="C1036" s="38"/>
      <c r="D1036" s="42"/>
      <c r="E1036" s="42"/>
    </row>
    <row r="1037" ht="15.0" customHeight="1">
      <c r="A1037" s="28"/>
      <c r="B1037" s="28"/>
      <c r="C1037" s="38"/>
      <c r="D1037" s="42"/>
      <c r="E1037" s="42"/>
    </row>
    <row r="1038" ht="15.0" customHeight="1">
      <c r="A1038" s="28"/>
      <c r="B1038" s="28"/>
      <c r="C1038" s="38"/>
      <c r="D1038" s="42"/>
      <c r="E1038" s="42"/>
    </row>
    <row r="1039" ht="15.0" customHeight="1">
      <c r="A1039" s="28"/>
      <c r="B1039" s="28"/>
      <c r="C1039" s="38"/>
      <c r="D1039" s="42"/>
      <c r="E1039" s="42"/>
    </row>
    <row r="1040" ht="15.0" customHeight="1">
      <c r="A1040" s="28"/>
      <c r="B1040" s="28"/>
      <c r="C1040" s="38"/>
      <c r="D1040" s="42"/>
      <c r="E1040" s="42"/>
    </row>
    <row r="1041" ht="15.0" customHeight="1">
      <c r="A1041" s="28"/>
      <c r="B1041" s="28"/>
      <c r="C1041" s="38"/>
      <c r="D1041" s="42"/>
      <c r="E1041" s="42"/>
    </row>
    <row r="1042" ht="15.0" customHeight="1">
      <c r="A1042" s="28"/>
      <c r="B1042" s="28"/>
      <c r="C1042" s="38"/>
      <c r="D1042" s="42"/>
      <c r="E1042" s="42"/>
    </row>
    <row r="1043" ht="15.0" customHeight="1">
      <c r="A1043" s="28"/>
      <c r="B1043" s="28"/>
      <c r="C1043" s="38"/>
      <c r="D1043" s="42"/>
      <c r="E1043" s="42"/>
    </row>
    <row r="1044" ht="15.0" customHeight="1">
      <c r="A1044" s="28"/>
      <c r="B1044" s="28"/>
      <c r="C1044" s="38"/>
      <c r="D1044" s="42"/>
      <c r="E1044" s="42"/>
    </row>
    <row r="1045" ht="15.0" customHeight="1">
      <c r="A1045" s="28"/>
      <c r="B1045" s="28"/>
      <c r="C1045" s="38"/>
      <c r="D1045" s="42"/>
      <c r="E1045" s="42"/>
    </row>
    <row r="1046" ht="15.0" customHeight="1">
      <c r="A1046" s="28"/>
      <c r="B1046" s="28"/>
      <c r="C1046" s="38"/>
      <c r="D1046" s="42"/>
      <c r="E1046" s="42"/>
    </row>
    <row r="1047" ht="15.0" customHeight="1">
      <c r="A1047" s="28"/>
      <c r="B1047" s="28"/>
      <c r="C1047" s="38"/>
      <c r="D1047" s="42"/>
      <c r="E1047" s="42"/>
    </row>
    <row r="1048" ht="15.0" customHeight="1">
      <c r="A1048" s="28"/>
      <c r="B1048" s="28"/>
      <c r="C1048" s="38"/>
      <c r="D1048" s="42"/>
      <c r="E1048" s="42"/>
    </row>
    <row r="1049" ht="15.0" customHeight="1">
      <c r="A1049" s="28"/>
      <c r="B1049" s="28"/>
      <c r="C1049" s="38"/>
      <c r="D1049" s="42"/>
      <c r="E1049" s="42"/>
    </row>
    <row r="1050" ht="15.0" customHeight="1">
      <c r="A1050" s="28"/>
      <c r="B1050" s="28"/>
      <c r="C1050" s="38"/>
      <c r="D1050" s="42"/>
      <c r="E1050" s="42"/>
    </row>
    <row r="1051" ht="15.0" customHeight="1">
      <c r="A1051" s="28"/>
      <c r="B1051" s="28"/>
      <c r="C1051" s="38"/>
      <c r="D1051" s="42"/>
      <c r="E1051" s="42"/>
    </row>
    <row r="1052" ht="15.0" customHeight="1">
      <c r="A1052" s="28"/>
      <c r="B1052" s="28"/>
      <c r="C1052" s="38"/>
      <c r="D1052" s="42"/>
      <c r="E1052" s="42"/>
    </row>
    <row r="1053" ht="15.0" customHeight="1">
      <c r="A1053" s="28"/>
      <c r="B1053" s="28"/>
      <c r="C1053" s="38"/>
      <c r="D1053" s="42"/>
      <c r="E1053" s="42"/>
    </row>
    <row r="1054" ht="15.0" customHeight="1">
      <c r="A1054" s="28"/>
      <c r="B1054" s="28"/>
      <c r="C1054" s="38"/>
      <c r="D1054" s="42"/>
      <c r="E1054" s="42"/>
    </row>
    <row r="1055" ht="15.0" customHeight="1">
      <c r="A1055" s="28"/>
      <c r="B1055" s="28"/>
      <c r="C1055" s="38"/>
      <c r="D1055" s="42"/>
      <c r="E1055" s="42"/>
    </row>
    <row r="1056" ht="15.0" customHeight="1">
      <c r="A1056" s="28"/>
      <c r="B1056" s="28"/>
      <c r="C1056" s="38"/>
      <c r="D1056" s="42"/>
      <c r="E1056" s="42"/>
    </row>
    <row r="1057" ht="15.0" customHeight="1">
      <c r="A1057" s="28"/>
      <c r="B1057" s="28"/>
      <c r="C1057" s="38"/>
      <c r="D1057" s="42"/>
      <c r="E1057" s="42"/>
    </row>
    <row r="1058" ht="15.0" customHeight="1">
      <c r="A1058" s="28"/>
      <c r="B1058" s="28"/>
      <c r="C1058" s="38"/>
      <c r="D1058" s="42"/>
      <c r="E1058" s="42"/>
    </row>
    <row r="1059" ht="15.0" customHeight="1">
      <c r="A1059" s="28"/>
      <c r="B1059" s="28"/>
      <c r="C1059" s="38"/>
      <c r="D1059" s="42"/>
      <c r="E1059" s="42"/>
    </row>
    <row r="1060" ht="15.0" customHeight="1">
      <c r="A1060" s="28"/>
      <c r="B1060" s="28"/>
      <c r="C1060" s="38"/>
      <c r="D1060" s="42"/>
      <c r="E1060" s="42"/>
    </row>
    <row r="1061" ht="15.0" customHeight="1">
      <c r="A1061" s="28"/>
      <c r="B1061" s="28"/>
      <c r="C1061" s="38"/>
      <c r="D1061" s="42"/>
      <c r="E1061" s="42"/>
    </row>
    <row r="1062" ht="15.0" customHeight="1">
      <c r="A1062" s="28"/>
      <c r="B1062" s="28"/>
      <c r="C1062" s="38"/>
      <c r="D1062" s="42"/>
      <c r="E1062" s="42"/>
    </row>
    <row r="1063" ht="15.0" customHeight="1">
      <c r="A1063" s="28"/>
      <c r="B1063" s="28"/>
      <c r="C1063" s="38"/>
      <c r="D1063" s="42"/>
      <c r="E1063" s="42"/>
    </row>
    <row r="1064" ht="15.0" customHeight="1">
      <c r="A1064" s="28"/>
      <c r="B1064" s="28"/>
      <c r="C1064" s="38"/>
      <c r="D1064" s="42"/>
      <c r="E1064" s="42"/>
    </row>
    <row r="1065" ht="15.0" customHeight="1">
      <c r="A1065" s="28"/>
      <c r="B1065" s="28"/>
      <c r="C1065" s="38"/>
      <c r="D1065" s="42"/>
      <c r="E1065" s="42"/>
    </row>
    <row r="1066" ht="15.0" customHeight="1">
      <c r="A1066" s="28"/>
      <c r="B1066" s="28"/>
      <c r="C1066" s="38"/>
      <c r="D1066" s="42"/>
      <c r="E1066" s="42"/>
    </row>
    <row r="1067" ht="15.0" customHeight="1">
      <c r="A1067" s="28"/>
      <c r="B1067" s="28"/>
      <c r="C1067" s="38"/>
      <c r="D1067" s="42"/>
      <c r="E1067" s="42"/>
    </row>
    <row r="1068" ht="15.0" customHeight="1">
      <c r="A1068" s="28"/>
      <c r="B1068" s="28"/>
      <c r="C1068" s="38"/>
      <c r="D1068" s="42"/>
      <c r="E1068" s="42"/>
    </row>
    <row r="1069" ht="15.0" customHeight="1">
      <c r="A1069" s="28"/>
      <c r="B1069" s="28"/>
      <c r="C1069" s="38"/>
      <c r="D1069" s="42"/>
      <c r="E1069" s="42"/>
    </row>
    <row r="1070" ht="15.0" customHeight="1">
      <c r="A1070" s="28"/>
      <c r="B1070" s="28"/>
      <c r="C1070" s="38"/>
      <c r="D1070" s="42"/>
      <c r="E1070" s="42"/>
    </row>
    <row r="1071" ht="15.0" customHeight="1">
      <c r="A1071" s="28"/>
      <c r="B1071" s="28"/>
      <c r="C1071" s="38"/>
      <c r="D1071" s="42"/>
      <c r="E1071" s="42"/>
    </row>
    <row r="1072" ht="15.0" customHeight="1">
      <c r="A1072" s="28"/>
      <c r="B1072" s="28"/>
      <c r="C1072" s="38"/>
      <c r="D1072" s="42"/>
      <c r="E1072" s="42"/>
    </row>
    <row r="1073" ht="15.0" customHeight="1">
      <c r="A1073" s="28"/>
      <c r="B1073" s="28"/>
      <c r="C1073" s="38"/>
      <c r="D1073" s="42"/>
      <c r="E1073" s="42"/>
    </row>
    <row r="1074" ht="15.0" customHeight="1">
      <c r="A1074" s="28"/>
      <c r="B1074" s="28"/>
      <c r="C1074" s="38"/>
      <c r="D1074" s="42"/>
      <c r="E1074" s="42"/>
    </row>
    <row r="1075" ht="15.0" customHeight="1">
      <c r="A1075" s="28"/>
      <c r="B1075" s="28"/>
      <c r="C1075" s="38"/>
      <c r="D1075" s="42"/>
      <c r="E1075" s="42"/>
    </row>
    <row r="1076" ht="15.0" customHeight="1">
      <c r="A1076" s="28"/>
      <c r="B1076" s="28"/>
      <c r="C1076" s="38"/>
      <c r="D1076" s="42"/>
      <c r="E1076" s="42"/>
    </row>
    <row r="1077" ht="15.0" customHeight="1">
      <c r="A1077" s="28"/>
      <c r="B1077" s="28"/>
      <c r="C1077" s="38"/>
      <c r="D1077" s="42"/>
      <c r="E1077" s="42"/>
    </row>
    <row r="1078" ht="15.0" customHeight="1">
      <c r="A1078" s="28"/>
      <c r="B1078" s="28"/>
      <c r="C1078" s="38"/>
      <c r="D1078" s="42"/>
      <c r="E1078" s="42"/>
    </row>
    <row r="1079" ht="15.0" customHeight="1">
      <c r="A1079" s="28"/>
      <c r="B1079" s="28"/>
      <c r="C1079" s="38"/>
      <c r="D1079" s="42"/>
      <c r="E1079" s="42"/>
    </row>
    <row r="1080" ht="15.0" customHeight="1">
      <c r="A1080" s="28"/>
      <c r="B1080" s="28"/>
      <c r="C1080" s="38"/>
      <c r="D1080" s="42"/>
      <c r="E1080" s="42"/>
    </row>
    <row r="1081" ht="15.0" customHeight="1">
      <c r="A1081" s="28"/>
      <c r="B1081" s="28"/>
      <c r="C1081" s="38"/>
      <c r="D1081" s="42"/>
      <c r="E1081" s="42"/>
    </row>
    <row r="1082" ht="15.0" customHeight="1">
      <c r="A1082" s="28"/>
      <c r="B1082" s="28"/>
      <c r="C1082" s="38"/>
      <c r="D1082" s="42"/>
      <c r="E1082" s="42"/>
    </row>
    <row r="1083" ht="15.0" customHeight="1">
      <c r="A1083" s="28"/>
      <c r="B1083" s="28"/>
      <c r="C1083" s="38"/>
      <c r="D1083" s="42"/>
      <c r="E1083" s="42"/>
    </row>
    <row r="1084" ht="15.0" customHeight="1">
      <c r="A1084" s="28"/>
      <c r="B1084" s="28"/>
      <c r="C1084" s="38"/>
      <c r="D1084" s="42"/>
      <c r="E1084" s="42"/>
    </row>
    <row r="1085" ht="15.0" customHeight="1">
      <c r="A1085" s="28"/>
      <c r="B1085" s="28"/>
      <c r="C1085" s="38"/>
      <c r="D1085" s="42"/>
      <c r="E1085" s="42"/>
    </row>
    <row r="1086" ht="15.0" customHeight="1">
      <c r="A1086" s="28"/>
      <c r="B1086" s="28"/>
      <c r="C1086" s="38"/>
      <c r="D1086" s="42"/>
      <c r="E1086" s="42"/>
    </row>
    <row r="1087" ht="15.0" customHeight="1">
      <c r="A1087" s="28"/>
      <c r="B1087" s="28"/>
      <c r="C1087" s="38"/>
      <c r="D1087" s="42"/>
      <c r="E1087" s="42"/>
    </row>
    <row r="1088" ht="15.0" customHeight="1">
      <c r="A1088" s="28"/>
      <c r="B1088" s="28"/>
      <c r="C1088" s="38"/>
      <c r="D1088" s="42"/>
      <c r="E1088" s="42"/>
    </row>
    <row r="1089" ht="15.0" customHeight="1">
      <c r="A1089" s="28"/>
      <c r="B1089" s="28"/>
      <c r="C1089" s="38"/>
      <c r="D1089" s="42"/>
      <c r="E1089" s="42"/>
    </row>
    <row r="1090" ht="15.0" customHeight="1">
      <c r="A1090" s="28"/>
      <c r="B1090" s="28"/>
      <c r="C1090" s="38"/>
      <c r="D1090" s="42"/>
      <c r="E1090" s="42"/>
    </row>
    <row r="1091" ht="15.0" customHeight="1">
      <c r="A1091" s="28"/>
      <c r="B1091" s="28"/>
      <c r="C1091" s="38"/>
      <c r="D1091" s="42"/>
      <c r="E1091" s="42"/>
    </row>
    <row r="1092" ht="15.0" customHeight="1">
      <c r="A1092" s="28"/>
      <c r="B1092" s="28"/>
      <c r="C1092" s="38"/>
      <c r="D1092" s="42"/>
      <c r="E1092" s="42"/>
    </row>
    <row r="1093" ht="15.0" customHeight="1">
      <c r="A1093" s="28"/>
      <c r="B1093" s="28"/>
      <c r="C1093" s="38"/>
      <c r="D1093" s="42"/>
      <c r="E1093" s="42"/>
    </row>
    <row r="1094" ht="15.0" customHeight="1">
      <c r="A1094" s="28"/>
      <c r="B1094" s="28"/>
      <c r="C1094" s="38"/>
      <c r="D1094" s="42"/>
      <c r="E1094" s="42"/>
    </row>
    <row r="1095" ht="15.0" customHeight="1">
      <c r="A1095" s="28"/>
      <c r="B1095" s="28"/>
      <c r="C1095" s="38"/>
      <c r="D1095" s="42"/>
      <c r="E1095" s="42"/>
    </row>
    <row r="1096" ht="15.0" customHeight="1">
      <c r="A1096" s="28"/>
      <c r="B1096" s="28"/>
      <c r="C1096" s="38"/>
      <c r="D1096" s="42"/>
      <c r="E1096" s="42"/>
    </row>
    <row r="1097" ht="15.0" customHeight="1">
      <c r="A1097" s="28"/>
      <c r="B1097" s="28"/>
      <c r="C1097" s="38"/>
      <c r="D1097" s="42"/>
      <c r="E1097" s="42"/>
    </row>
    <row r="1098" ht="15.0" customHeight="1">
      <c r="A1098" s="28"/>
      <c r="B1098" s="28"/>
      <c r="C1098" s="38"/>
      <c r="D1098" s="42"/>
      <c r="E1098" s="42"/>
    </row>
    <row r="1099" ht="15.0" customHeight="1">
      <c r="A1099" s="28"/>
      <c r="B1099" s="28"/>
      <c r="C1099" s="38"/>
      <c r="D1099" s="42"/>
      <c r="E1099" s="42"/>
    </row>
    <row r="1100" ht="15.0" customHeight="1">
      <c r="A1100" s="28"/>
      <c r="B1100" s="28"/>
      <c r="C1100" s="38"/>
      <c r="D1100" s="42"/>
      <c r="E1100" s="42"/>
    </row>
    <row r="1101" ht="15.0" customHeight="1">
      <c r="A1101" s="28"/>
      <c r="B1101" s="28"/>
      <c r="C1101" s="38"/>
      <c r="D1101" s="42"/>
      <c r="E1101" s="42"/>
    </row>
    <row r="1102" ht="15.0" customHeight="1">
      <c r="A1102" s="28"/>
      <c r="B1102" s="28"/>
      <c r="C1102" s="38"/>
      <c r="D1102" s="42"/>
      <c r="E1102" s="42"/>
    </row>
    <row r="1103" ht="15.0" customHeight="1">
      <c r="A1103" s="28"/>
      <c r="B1103" s="28"/>
      <c r="C1103" s="38"/>
      <c r="D1103" s="42"/>
      <c r="E1103" s="42"/>
    </row>
    <row r="1104" ht="15.0" customHeight="1">
      <c r="A1104" s="28"/>
      <c r="B1104" s="28"/>
      <c r="C1104" s="38"/>
      <c r="D1104" s="42"/>
      <c r="E1104" s="42"/>
    </row>
    <row r="1105" ht="15.0" customHeight="1">
      <c r="A1105" s="28"/>
      <c r="B1105" s="28"/>
      <c r="C1105" s="38"/>
      <c r="D1105" s="42"/>
      <c r="E1105" s="42"/>
    </row>
    <row r="1106" ht="15.0" customHeight="1">
      <c r="A1106" s="28"/>
      <c r="B1106" s="28"/>
      <c r="C1106" s="38"/>
      <c r="D1106" s="42"/>
      <c r="E1106" s="42"/>
    </row>
    <row r="1107" ht="15.0" customHeight="1">
      <c r="A1107" s="28"/>
      <c r="B1107" s="28"/>
      <c r="C1107" s="38"/>
      <c r="D1107" s="42"/>
      <c r="E1107" s="42"/>
    </row>
    <row r="1108" ht="15.0" customHeight="1">
      <c r="A1108" s="28"/>
      <c r="B1108" s="28"/>
      <c r="C1108" s="38"/>
      <c r="D1108" s="42"/>
      <c r="E1108" s="42"/>
    </row>
    <row r="1109" ht="15.0" customHeight="1">
      <c r="A1109" s="28"/>
      <c r="B1109" s="28"/>
      <c r="C1109" s="38"/>
      <c r="D1109" s="42"/>
      <c r="E1109" s="42"/>
    </row>
    <row r="1110" ht="15.0" customHeight="1">
      <c r="A1110" s="28"/>
      <c r="B1110" s="28"/>
      <c r="C1110" s="38"/>
      <c r="D1110" s="42"/>
      <c r="E1110" s="42"/>
    </row>
    <row r="1111" ht="15.0" customHeight="1">
      <c r="A1111" s="28"/>
      <c r="B1111" s="28"/>
      <c r="C1111" s="38"/>
      <c r="D1111" s="42"/>
      <c r="E1111" s="42"/>
    </row>
    <row r="1112" ht="15.0" customHeight="1">
      <c r="A1112" s="28"/>
      <c r="B1112" s="28"/>
      <c r="C1112" s="38"/>
      <c r="D1112" s="73"/>
      <c r="E1112" s="42"/>
    </row>
  </sheetData>
  <mergeCells count="1">
    <mergeCell ref="C4:D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2.75"/>
  <cols>
    <col customWidth="1" min="1" max="1" width="18.57"/>
    <col customWidth="1" min="2" max="2" width="12.29"/>
    <col customWidth="1" min="3" max="3" width="0.43"/>
    <col customWidth="1" min="4" max="4" width="21.57"/>
    <col customWidth="1" min="5" max="5" width="19.71"/>
    <col customWidth="1" min="6" max="7" width="21.29"/>
  </cols>
  <sheetData>
    <row r="1" ht="15.75" customHeight="1">
      <c r="A1" s="48" t="s">
        <v>5</v>
      </c>
      <c r="B1" s="15" t="s">
        <v>45</v>
      </c>
      <c r="C1" s="49" t="s">
        <v>550</v>
      </c>
      <c r="D1" s="15" t="s">
        <v>551</v>
      </c>
      <c r="E1" s="50" t="s">
        <v>48</v>
      </c>
      <c r="F1" s="51" t="s">
        <v>51</v>
      </c>
      <c r="G1" s="25" t="s">
        <v>66</v>
      </c>
    </row>
    <row r="2" ht="15.75" customHeight="1">
      <c r="A2" s="52" t="s">
        <v>552</v>
      </c>
      <c r="B2" s="53">
        <v>1000.0</v>
      </c>
      <c r="C2" s="54">
        <v>0.05</v>
      </c>
      <c r="D2" s="31">
        <v>6933.0</v>
      </c>
      <c r="E2" s="31">
        <f t="shared" ref="E2:E19" si="1">D2/2</f>
        <v>3466.5</v>
      </c>
      <c r="F2" s="55">
        <f t="shared" ref="F2:F4" si="2">D2/5</f>
        <v>1386.6</v>
      </c>
      <c r="G2" s="56" t="s">
        <v>553</v>
      </c>
    </row>
    <row r="3" ht="15.75" customHeight="1">
      <c r="A3" s="52" t="s">
        <v>554</v>
      </c>
      <c r="B3" s="52">
        <v>5000.0</v>
      </c>
      <c r="C3" s="54">
        <v>0.05</v>
      </c>
      <c r="D3" s="31">
        <v>34673.0</v>
      </c>
      <c r="E3" s="31">
        <f t="shared" si="1"/>
        <v>17336.5</v>
      </c>
      <c r="F3" s="55">
        <f t="shared" si="2"/>
        <v>6934.6</v>
      </c>
      <c r="G3" s="56" t="s">
        <v>553</v>
      </c>
    </row>
    <row r="4" ht="15.75" customHeight="1">
      <c r="A4" s="52" t="s">
        <v>555</v>
      </c>
      <c r="B4" s="53">
        <v>2500.0</v>
      </c>
      <c r="C4" s="54">
        <v>0.05</v>
      </c>
      <c r="D4" s="31">
        <v>58225.0</v>
      </c>
      <c r="E4" s="31">
        <f t="shared" si="1"/>
        <v>29112.5</v>
      </c>
      <c r="F4" s="55">
        <f t="shared" si="2"/>
        <v>11645</v>
      </c>
      <c r="G4" s="56" t="s">
        <v>553</v>
      </c>
    </row>
    <row r="5" ht="15.75" customHeight="1">
      <c r="A5" s="52" t="s">
        <v>556</v>
      </c>
      <c r="B5" s="52">
        <v>100.0</v>
      </c>
      <c r="C5" s="54">
        <v>0.0829</v>
      </c>
      <c r="D5" s="31">
        <v>45081.0</v>
      </c>
      <c r="E5" s="31">
        <f t="shared" si="1"/>
        <v>22540.5</v>
      </c>
      <c r="F5" s="57">
        <v>5000.0</v>
      </c>
      <c r="G5" s="56" t="s">
        <v>557</v>
      </c>
    </row>
    <row r="6" ht="15.75" customHeight="1">
      <c r="A6" s="52" t="s">
        <v>558</v>
      </c>
      <c r="B6" s="58">
        <v>10.0</v>
      </c>
      <c r="C6" s="54">
        <v>0.0828</v>
      </c>
      <c r="D6" s="26">
        <v>4405.0</v>
      </c>
      <c r="E6" s="31">
        <f t="shared" si="1"/>
        <v>2202.5</v>
      </c>
      <c r="F6" s="57">
        <v>500.0</v>
      </c>
      <c r="G6" s="56" t="s">
        <v>557</v>
      </c>
    </row>
    <row r="7" ht="15.75" customHeight="1">
      <c r="A7" s="52" t="s">
        <v>559</v>
      </c>
      <c r="B7" s="52">
        <v>100.0</v>
      </c>
      <c r="C7" s="54">
        <v>0.05</v>
      </c>
      <c r="D7" s="31">
        <v>199054.0</v>
      </c>
      <c r="E7" s="31">
        <f t="shared" si="1"/>
        <v>99527</v>
      </c>
      <c r="F7" s="55">
        <f t="shared" ref="F7:F12" si="3">D7/5</f>
        <v>39810.8</v>
      </c>
      <c r="G7" s="56" t="s">
        <v>553</v>
      </c>
    </row>
    <row r="8" ht="15.75" customHeight="1">
      <c r="A8" s="52" t="s">
        <v>560</v>
      </c>
      <c r="B8" s="53">
        <v>1.0</v>
      </c>
      <c r="C8" s="54">
        <v>0.05</v>
      </c>
      <c r="D8" s="31">
        <v>1601.0</v>
      </c>
      <c r="E8" s="31">
        <f t="shared" si="1"/>
        <v>800.5</v>
      </c>
      <c r="F8" s="55">
        <f t="shared" si="3"/>
        <v>320.2</v>
      </c>
      <c r="G8" s="56" t="s">
        <v>553</v>
      </c>
    </row>
    <row r="9" ht="15.75" customHeight="1">
      <c r="A9" s="52" t="s">
        <v>561</v>
      </c>
      <c r="B9" s="52">
        <v>10.0</v>
      </c>
      <c r="C9" s="54">
        <v>0.05</v>
      </c>
      <c r="D9" s="31">
        <v>20005.0</v>
      </c>
      <c r="E9" s="31">
        <f t="shared" si="1"/>
        <v>10002.5</v>
      </c>
      <c r="F9" s="55">
        <f t="shared" si="3"/>
        <v>4001</v>
      </c>
      <c r="G9" s="56" t="s">
        <v>562</v>
      </c>
    </row>
    <row r="10" ht="15.75" customHeight="1">
      <c r="A10" s="52" t="s">
        <v>563</v>
      </c>
      <c r="B10" s="52">
        <v>1.0</v>
      </c>
      <c r="C10" s="54">
        <v>0.05</v>
      </c>
      <c r="D10" s="31">
        <v>201.0</v>
      </c>
      <c r="E10" s="31">
        <f t="shared" si="1"/>
        <v>100.5</v>
      </c>
      <c r="F10" s="55">
        <f t="shared" si="3"/>
        <v>40.2</v>
      </c>
      <c r="G10" s="56" t="s">
        <v>553</v>
      </c>
    </row>
    <row r="11" ht="15.75" customHeight="1">
      <c r="A11" s="52" t="s">
        <v>564</v>
      </c>
      <c r="B11" s="52">
        <v>5000.0</v>
      </c>
      <c r="C11" s="54">
        <v>0.05</v>
      </c>
      <c r="D11" s="31">
        <v>41991.0</v>
      </c>
      <c r="E11" s="31">
        <f t="shared" si="1"/>
        <v>20995.5</v>
      </c>
      <c r="F11" s="55">
        <f t="shared" si="3"/>
        <v>8398.2</v>
      </c>
      <c r="G11" s="56" t="s">
        <v>553</v>
      </c>
    </row>
    <row r="12" ht="15.75" customHeight="1">
      <c r="A12" s="52" t="s">
        <v>565</v>
      </c>
      <c r="B12" s="52">
        <v>1000.0</v>
      </c>
      <c r="C12" s="54">
        <v>0.1022</v>
      </c>
      <c r="D12" s="31">
        <v>8398.0</v>
      </c>
      <c r="E12" s="31">
        <f t="shared" si="1"/>
        <v>4199</v>
      </c>
      <c r="F12" s="55">
        <f t="shared" si="3"/>
        <v>1679.6</v>
      </c>
      <c r="G12" s="56" t="s">
        <v>553</v>
      </c>
    </row>
    <row r="13" ht="15.75" customHeight="1">
      <c r="A13" s="52" t="s">
        <v>566</v>
      </c>
      <c r="B13" s="52">
        <v>1250.0</v>
      </c>
      <c r="C13" s="54">
        <v>0.06</v>
      </c>
      <c r="D13" s="26">
        <v>29523.0</v>
      </c>
      <c r="E13" s="31">
        <f t="shared" si="1"/>
        <v>14761.5</v>
      </c>
      <c r="F13" s="57">
        <v>4000.0</v>
      </c>
      <c r="G13" s="56" t="s">
        <v>567</v>
      </c>
    </row>
    <row r="14" ht="15.75" customHeight="1">
      <c r="A14" s="52" t="s">
        <v>568</v>
      </c>
      <c r="B14" s="52">
        <v>250.0</v>
      </c>
      <c r="C14" s="54">
        <v>0.06</v>
      </c>
      <c r="D14" s="31">
        <v>26005.0</v>
      </c>
      <c r="E14" s="31">
        <f t="shared" si="1"/>
        <v>13002.5</v>
      </c>
      <c r="F14" s="55">
        <f t="shared" ref="F14:F19" si="4">D14/5</f>
        <v>5201</v>
      </c>
      <c r="G14" s="56" t="s">
        <v>569</v>
      </c>
    </row>
    <row r="15" ht="15.75" customHeight="1">
      <c r="A15" s="52" t="s">
        <v>570</v>
      </c>
      <c r="B15" s="52">
        <v>30.0</v>
      </c>
      <c r="C15" s="54">
        <v>0.05</v>
      </c>
      <c r="D15" s="31">
        <v>105268.0</v>
      </c>
      <c r="E15" s="31">
        <f t="shared" si="1"/>
        <v>52634</v>
      </c>
      <c r="F15" s="55">
        <f t="shared" si="4"/>
        <v>21053.6</v>
      </c>
      <c r="G15" s="56" t="s">
        <v>571</v>
      </c>
    </row>
    <row r="16" ht="15.75" customHeight="1">
      <c r="A16" s="52" t="s">
        <v>572</v>
      </c>
      <c r="B16" s="52">
        <v>5.0</v>
      </c>
      <c r="C16" s="54">
        <v>0.0516</v>
      </c>
      <c r="D16" s="31">
        <v>17601.0</v>
      </c>
      <c r="E16" s="31">
        <f t="shared" si="1"/>
        <v>8800.5</v>
      </c>
      <c r="F16" s="55">
        <f t="shared" si="4"/>
        <v>3520.2</v>
      </c>
      <c r="G16" s="56" t="s">
        <v>571</v>
      </c>
    </row>
    <row r="17" ht="15.75" customHeight="1">
      <c r="A17" s="52" t="s">
        <v>573</v>
      </c>
      <c r="B17" s="52">
        <v>1.0</v>
      </c>
      <c r="C17" s="54">
        <v>0.05</v>
      </c>
      <c r="D17" s="31">
        <v>3521.0</v>
      </c>
      <c r="E17" s="31">
        <f t="shared" si="1"/>
        <v>1760.5</v>
      </c>
      <c r="F17" s="55">
        <f t="shared" si="4"/>
        <v>704.2</v>
      </c>
      <c r="G17" s="56" t="s">
        <v>571</v>
      </c>
    </row>
    <row r="18" ht="15.75" customHeight="1">
      <c r="A18" s="28" t="s">
        <v>574</v>
      </c>
      <c r="B18" s="52">
        <v>5000.0</v>
      </c>
      <c r="C18" s="54">
        <v>0.05</v>
      </c>
      <c r="D18" s="31">
        <v>50039.0</v>
      </c>
      <c r="E18" s="31">
        <f t="shared" si="1"/>
        <v>25019.5</v>
      </c>
      <c r="F18" s="55">
        <f t="shared" si="4"/>
        <v>10007.8</v>
      </c>
      <c r="G18" s="56" t="s">
        <v>553</v>
      </c>
    </row>
    <row r="19" ht="15.75" customHeight="1">
      <c r="A19" s="53" t="s">
        <v>575</v>
      </c>
      <c r="B19" s="52">
        <v>1000.0</v>
      </c>
      <c r="C19" s="60"/>
      <c r="D19" s="31">
        <v>10005.0</v>
      </c>
      <c r="E19" s="31">
        <f t="shared" si="1"/>
        <v>5002.5</v>
      </c>
      <c r="F19" s="55">
        <f t="shared" si="4"/>
        <v>2001</v>
      </c>
      <c r="G19" s="56" t="s">
        <v>553</v>
      </c>
    </row>
    <row r="20" ht="15.75" customHeight="1">
      <c r="A20" s="60"/>
      <c r="B20" s="60"/>
      <c r="C20" s="60"/>
      <c r="D20" s="60"/>
      <c r="E20" s="60"/>
      <c r="F20" s="60"/>
      <c r="G20" s="62"/>
    </row>
    <row r="21" ht="15.75" customHeight="1">
      <c r="A21" s="60"/>
      <c r="B21" s="60"/>
      <c r="C21" s="60"/>
      <c r="D21" s="60"/>
      <c r="E21" s="60"/>
      <c r="F21" s="60"/>
      <c r="G21" s="64"/>
    </row>
    <row r="22" ht="15.75" customHeight="1">
      <c r="A22" s="60"/>
      <c r="B22" s="60"/>
      <c r="C22" s="60"/>
      <c r="D22" s="60"/>
      <c r="E22" s="60"/>
      <c r="F22" s="60"/>
      <c r="G22" s="64"/>
    </row>
    <row r="23" ht="15.75" customHeight="1">
      <c r="A23" s="60"/>
      <c r="B23" s="60"/>
      <c r="C23" s="60"/>
      <c r="D23" s="60"/>
      <c r="E23" s="60"/>
      <c r="F23" s="60"/>
      <c r="G23" s="64"/>
    </row>
    <row r="24" ht="15.75" customHeight="1">
      <c r="A24" s="60"/>
      <c r="B24" s="60"/>
      <c r="C24" s="60"/>
      <c r="D24" s="60"/>
      <c r="E24" s="60"/>
      <c r="F24" s="60"/>
      <c r="G24" s="64"/>
    </row>
    <row r="25" ht="15.75" customHeight="1">
      <c r="A25" s="60"/>
      <c r="B25" s="60"/>
      <c r="C25" s="60"/>
      <c r="D25" s="60"/>
      <c r="E25" s="60"/>
      <c r="F25" s="60"/>
      <c r="G25" s="64"/>
    </row>
    <row r="26" ht="15.75" customHeight="1">
      <c r="A26" s="60"/>
      <c r="B26" s="60"/>
      <c r="C26" s="60"/>
      <c r="D26" s="60"/>
      <c r="E26" s="60"/>
      <c r="F26" s="60"/>
      <c r="G26" s="64"/>
    </row>
    <row r="27" ht="15.75" customHeight="1">
      <c r="A27" s="60"/>
      <c r="B27" s="60"/>
      <c r="C27" s="60"/>
      <c r="D27" s="60"/>
      <c r="E27" s="60"/>
      <c r="F27" s="60"/>
      <c r="G27" s="64"/>
    </row>
    <row r="28" ht="15.75" customHeight="1">
      <c r="A28" s="60"/>
      <c r="B28" s="60"/>
      <c r="C28" s="60"/>
      <c r="D28" s="60"/>
      <c r="E28" s="60"/>
      <c r="F28" s="60"/>
      <c r="G28" s="64"/>
    </row>
    <row r="29" ht="15.75" customHeight="1">
      <c r="A29" s="60"/>
      <c r="B29" s="60"/>
      <c r="C29" s="60"/>
      <c r="D29" s="60"/>
      <c r="E29" s="60"/>
      <c r="F29" s="60"/>
      <c r="G29" s="64"/>
    </row>
    <row r="30" ht="15.75" customHeight="1">
      <c r="A30" s="60"/>
      <c r="B30" s="60"/>
      <c r="C30" s="60"/>
      <c r="D30" s="60"/>
      <c r="E30" s="60"/>
      <c r="F30" s="60"/>
      <c r="G30" s="64"/>
    </row>
    <row r="31" ht="15.75" customHeight="1">
      <c r="A31" s="60"/>
      <c r="B31" s="60"/>
      <c r="C31" s="60"/>
      <c r="D31" s="60"/>
      <c r="E31" s="60"/>
      <c r="F31" s="60"/>
      <c r="G31" s="64"/>
    </row>
    <row r="32" ht="15.75" customHeight="1">
      <c r="A32" s="60"/>
      <c r="B32" s="60"/>
      <c r="C32" s="60"/>
      <c r="D32" s="60"/>
      <c r="E32" s="60"/>
      <c r="F32" s="60"/>
      <c r="G32" s="64"/>
    </row>
    <row r="33" ht="15.75" customHeight="1">
      <c r="A33" s="60"/>
      <c r="B33" s="60"/>
      <c r="C33" s="60"/>
      <c r="D33" s="60"/>
      <c r="E33" s="60"/>
      <c r="F33" s="60"/>
      <c r="G33" s="64"/>
    </row>
    <row r="34" ht="15.75" customHeight="1">
      <c r="A34" s="60"/>
      <c r="B34" s="60"/>
      <c r="C34" s="60"/>
      <c r="D34" s="60"/>
      <c r="E34" s="60"/>
      <c r="F34" s="60"/>
      <c r="G34" s="64"/>
    </row>
    <row r="35" ht="15.75" customHeight="1">
      <c r="A35" s="60"/>
      <c r="B35" s="60"/>
      <c r="C35" s="60"/>
      <c r="D35" s="60"/>
      <c r="E35" s="60"/>
      <c r="F35" s="60"/>
      <c r="G35" s="64"/>
    </row>
    <row r="36" ht="15.75" customHeight="1">
      <c r="A36" s="60"/>
      <c r="B36" s="60"/>
      <c r="C36" s="60"/>
      <c r="D36" s="60"/>
      <c r="E36" s="60"/>
      <c r="F36" s="60"/>
      <c r="G36" s="64"/>
    </row>
    <row r="37" ht="15.75" customHeight="1">
      <c r="A37" s="60"/>
      <c r="B37" s="60"/>
      <c r="C37" s="60"/>
      <c r="D37" s="60"/>
      <c r="E37" s="60"/>
      <c r="F37" s="60"/>
      <c r="G37" s="6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2.75"/>
  <cols>
    <col customWidth="1" min="1" max="1" width="19.86"/>
    <col customWidth="1" min="2" max="2" width="15.14"/>
    <col customWidth="1" min="3" max="3" width="20.43"/>
    <col customWidth="1" min="4" max="5" width="17.29"/>
  </cols>
  <sheetData>
    <row r="1" ht="15.0" customHeight="1">
      <c r="A1" s="59" t="s">
        <v>576</v>
      </c>
      <c r="B1" s="17" t="s">
        <v>577</v>
      </c>
      <c r="C1" s="61" t="s">
        <v>48</v>
      </c>
      <c r="D1" s="61" t="s">
        <v>51</v>
      </c>
      <c r="E1" s="61" t="s">
        <v>66</v>
      </c>
    </row>
    <row r="2" ht="15.0" customHeight="1">
      <c r="A2" s="63" t="s">
        <v>578</v>
      </c>
      <c r="B2" s="65">
        <v>1563.0</v>
      </c>
      <c r="C2" s="63">
        <f t="shared" ref="C2:C5" si="1">B2/2</f>
        <v>781.5</v>
      </c>
      <c r="D2" s="66">
        <f t="shared" ref="D2:D5" si="2">B2/4</f>
        <v>390.75</v>
      </c>
      <c r="E2" s="65">
        <v>0.44</v>
      </c>
    </row>
    <row r="3" ht="15.0" customHeight="1">
      <c r="A3" s="63" t="s">
        <v>579</v>
      </c>
      <c r="B3" s="65">
        <v>1929.0</v>
      </c>
      <c r="C3" s="63">
        <f t="shared" si="1"/>
        <v>964.5</v>
      </c>
      <c r="D3" s="66">
        <f t="shared" si="2"/>
        <v>482.25</v>
      </c>
      <c r="E3" s="65">
        <v>0.48</v>
      </c>
    </row>
    <row r="4" ht="15.0" customHeight="1">
      <c r="A4" s="63" t="s">
        <v>580</v>
      </c>
      <c r="B4" s="65">
        <v>2790.0</v>
      </c>
      <c r="C4" s="63">
        <f t="shared" si="1"/>
        <v>1395</v>
      </c>
      <c r="D4" s="66">
        <f t="shared" si="2"/>
        <v>697.5</v>
      </c>
      <c r="E4" s="65">
        <v>0.62</v>
      </c>
    </row>
    <row r="5" ht="15.0" customHeight="1">
      <c r="A5" s="63" t="s">
        <v>581</v>
      </c>
      <c r="B5" s="65">
        <v>2083.0</v>
      </c>
      <c r="C5" s="66">
        <f t="shared" si="1"/>
        <v>1041.5</v>
      </c>
      <c r="D5" s="66">
        <f t="shared" si="2"/>
        <v>520.75</v>
      </c>
      <c r="E5" s="65">
        <v>0.63</v>
      </c>
    </row>
    <row r="6" ht="15.0" customHeight="1">
      <c r="A6" s="67"/>
      <c r="B6" s="68"/>
      <c r="C6" s="69"/>
      <c r="D6" s="67"/>
      <c r="E6" s="67"/>
    </row>
    <row r="7" ht="15.0" customHeight="1">
      <c r="A7" s="70"/>
      <c r="B7" s="70"/>
      <c r="C7" s="71"/>
      <c r="D7" s="70"/>
      <c r="E7" s="70"/>
    </row>
    <row r="8" ht="15.0" customHeight="1">
      <c r="A8" s="70"/>
      <c r="B8" s="70"/>
      <c r="C8" s="71"/>
      <c r="D8" s="70"/>
      <c r="E8" s="7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2.75"/>
  <cols>
    <col customWidth="1" min="1" max="1" width="15.43"/>
    <col customWidth="1" min="2" max="2" width="18.29"/>
    <col customWidth="1" min="3" max="3" width="16.29"/>
    <col customWidth="1" min="4" max="4" width="12.57"/>
    <col customWidth="1" min="6" max="6" width="70.0"/>
  </cols>
  <sheetData>
    <row r="1">
      <c r="A1" s="9"/>
      <c r="B1" s="9"/>
      <c r="C1" s="9"/>
      <c r="F1" s="28"/>
    </row>
    <row r="2">
      <c r="A2" s="9"/>
      <c r="B2" s="9"/>
      <c r="C2" s="9"/>
      <c r="F2" s="28"/>
    </row>
    <row r="3">
      <c r="A3" s="9"/>
      <c r="B3" s="9"/>
      <c r="C3" s="9"/>
      <c r="F3" s="19" t="s">
        <v>582</v>
      </c>
    </row>
    <row r="4">
      <c r="A4" s="9"/>
      <c r="B4" s="9"/>
      <c r="C4" s="9"/>
      <c r="F4" s="28"/>
    </row>
    <row r="5">
      <c r="A5" s="9" t="s">
        <v>5</v>
      </c>
      <c r="B5" s="6" t="s">
        <v>583</v>
      </c>
      <c r="C5" s="9" t="s">
        <v>584</v>
      </c>
      <c r="D5" s="9" t="s">
        <v>585</v>
      </c>
      <c r="F5" s="32" t="str">
        <f>HYPERLINK(" https://sasonline.freshdesk.com/support/solutions/articles/5000750854-what-are-bracket-orders-how-do-they-work-","*For Further Assistance kindly go through What is BO? ")</f>
        <v>*For Further Assistance kindly go through What is BO? </v>
      </c>
    </row>
    <row r="6">
      <c r="A6" s="16" t="s">
        <v>77</v>
      </c>
      <c r="B6" s="72">
        <v>43769.0</v>
      </c>
      <c r="C6" s="26">
        <v>29000.0</v>
      </c>
      <c r="D6" s="16" t="s">
        <v>586</v>
      </c>
      <c r="E6" s="16"/>
    </row>
    <row r="7">
      <c r="A7" s="16" t="s">
        <v>77</v>
      </c>
      <c r="B7" s="72">
        <v>43769.0</v>
      </c>
      <c r="C7" s="26">
        <v>29100.0</v>
      </c>
      <c r="D7" s="16" t="s">
        <v>586</v>
      </c>
      <c r="E7" s="16"/>
    </row>
    <row r="8">
      <c r="A8" s="16" t="s">
        <v>77</v>
      </c>
      <c r="B8" s="72">
        <v>43769.0</v>
      </c>
      <c r="C8" s="26">
        <v>29200.0</v>
      </c>
      <c r="D8" s="16" t="s">
        <v>586</v>
      </c>
      <c r="E8" s="16"/>
    </row>
    <row r="9">
      <c r="A9" s="16" t="s">
        <v>77</v>
      </c>
      <c r="B9" s="72">
        <v>43769.0</v>
      </c>
      <c r="C9" s="26">
        <v>29300.0</v>
      </c>
      <c r="D9" s="16" t="s">
        <v>586</v>
      </c>
      <c r="E9" s="16"/>
    </row>
    <row r="10">
      <c r="A10" s="16" t="s">
        <v>77</v>
      </c>
      <c r="B10" s="72">
        <v>43769.0</v>
      </c>
      <c r="C10" s="26">
        <v>29400.0</v>
      </c>
      <c r="D10" s="16" t="s">
        <v>586</v>
      </c>
      <c r="E10" s="16"/>
    </row>
    <row r="11">
      <c r="A11" s="16" t="s">
        <v>77</v>
      </c>
      <c r="B11" s="72">
        <v>43769.0</v>
      </c>
      <c r="C11" s="26">
        <v>29500.0</v>
      </c>
      <c r="D11" s="16" t="s">
        <v>586</v>
      </c>
      <c r="E11" s="16"/>
    </row>
    <row r="12">
      <c r="A12" s="16" t="s">
        <v>77</v>
      </c>
      <c r="B12" s="72">
        <v>43769.0</v>
      </c>
      <c r="C12" s="26">
        <v>29600.0</v>
      </c>
      <c r="D12" s="16" t="s">
        <v>586</v>
      </c>
      <c r="E12" s="16"/>
    </row>
    <row r="13">
      <c r="A13" s="16" t="s">
        <v>77</v>
      </c>
      <c r="B13" s="72">
        <v>43769.0</v>
      </c>
      <c r="C13" s="26">
        <v>29700.0</v>
      </c>
      <c r="D13" s="16" t="s">
        <v>586</v>
      </c>
      <c r="E13" s="16"/>
    </row>
    <row r="14">
      <c r="A14" s="16" t="s">
        <v>77</v>
      </c>
      <c r="B14" s="72">
        <v>43769.0</v>
      </c>
      <c r="C14" s="26">
        <v>29800.0</v>
      </c>
      <c r="D14" s="16" t="s">
        <v>586</v>
      </c>
      <c r="E14" s="16"/>
    </row>
    <row r="15">
      <c r="A15" s="16" t="s">
        <v>77</v>
      </c>
      <c r="B15" s="72">
        <v>43769.0</v>
      </c>
      <c r="C15" s="26">
        <v>29900.0</v>
      </c>
      <c r="D15" s="16" t="s">
        <v>586</v>
      </c>
      <c r="E15" s="16"/>
    </row>
    <row r="16">
      <c r="A16" s="16" t="s">
        <v>77</v>
      </c>
      <c r="B16" s="72">
        <v>43769.0</v>
      </c>
      <c r="C16" s="26">
        <v>30000.0</v>
      </c>
      <c r="D16" s="16" t="s">
        <v>586</v>
      </c>
      <c r="E16" s="16"/>
    </row>
    <row r="17">
      <c r="A17" s="16" t="s">
        <v>77</v>
      </c>
      <c r="B17" s="72">
        <v>43769.0</v>
      </c>
      <c r="C17" s="26">
        <v>30100.0</v>
      </c>
      <c r="D17" s="16" t="s">
        <v>586</v>
      </c>
      <c r="E17" s="16"/>
    </row>
    <row r="18">
      <c r="A18" s="16" t="s">
        <v>77</v>
      </c>
      <c r="B18" s="72">
        <v>43769.0</v>
      </c>
      <c r="C18" s="26">
        <v>30200.0</v>
      </c>
      <c r="D18" s="16" t="s">
        <v>586</v>
      </c>
      <c r="E18" s="16"/>
    </row>
    <row r="19">
      <c r="A19" s="16" t="s">
        <v>77</v>
      </c>
      <c r="B19" s="72">
        <v>43769.0</v>
      </c>
      <c r="C19" s="26">
        <v>30300.0</v>
      </c>
      <c r="D19" s="16" t="s">
        <v>586</v>
      </c>
      <c r="E19" s="16"/>
    </row>
    <row r="20">
      <c r="A20" s="16" t="s">
        <v>77</v>
      </c>
      <c r="B20" s="72">
        <v>43769.0</v>
      </c>
      <c r="C20" s="26">
        <v>30400.0</v>
      </c>
      <c r="D20" s="16" t="s">
        <v>586</v>
      </c>
      <c r="E20" s="16"/>
    </row>
    <row r="21">
      <c r="A21" s="16" t="s">
        <v>77</v>
      </c>
      <c r="B21" s="72">
        <v>43769.0</v>
      </c>
      <c r="C21" s="26">
        <v>30500.0</v>
      </c>
      <c r="D21" s="16" t="s">
        <v>586</v>
      </c>
      <c r="E21" s="16"/>
    </row>
    <row r="22">
      <c r="A22" s="16" t="s">
        <v>77</v>
      </c>
      <c r="B22" s="72">
        <v>43769.0</v>
      </c>
      <c r="C22" s="26">
        <v>30600.0</v>
      </c>
      <c r="D22" s="16" t="s">
        <v>586</v>
      </c>
      <c r="E22" s="16"/>
    </row>
    <row r="23">
      <c r="A23" s="16" t="s">
        <v>77</v>
      </c>
      <c r="B23" s="72">
        <v>43769.0</v>
      </c>
      <c r="C23" s="26">
        <v>30700.0</v>
      </c>
      <c r="D23" s="16" t="s">
        <v>586</v>
      </c>
      <c r="E23" s="16"/>
    </row>
    <row r="24">
      <c r="A24" s="16" t="s">
        <v>77</v>
      </c>
      <c r="B24" s="72">
        <v>43769.0</v>
      </c>
      <c r="C24" s="26">
        <v>30800.0</v>
      </c>
      <c r="D24" s="16" t="s">
        <v>586</v>
      </c>
      <c r="E24" s="16"/>
    </row>
    <row r="25">
      <c r="A25" s="16" t="s">
        <v>77</v>
      </c>
      <c r="B25" s="72">
        <v>43769.0</v>
      </c>
      <c r="C25" s="26">
        <v>30900.0</v>
      </c>
      <c r="D25" s="16" t="s">
        <v>586</v>
      </c>
      <c r="E25" s="16"/>
    </row>
    <row r="26">
      <c r="A26" s="16" t="s">
        <v>77</v>
      </c>
      <c r="B26" s="72">
        <v>43769.0</v>
      </c>
      <c r="C26" s="26">
        <v>31000.0</v>
      </c>
      <c r="D26" s="16" t="s">
        <v>586</v>
      </c>
      <c r="E26" s="16"/>
    </row>
    <row r="27">
      <c r="A27" s="16" t="s">
        <v>77</v>
      </c>
      <c r="B27" s="72">
        <v>43769.0</v>
      </c>
      <c r="C27" s="26">
        <v>31100.0</v>
      </c>
      <c r="D27" s="16" t="s">
        <v>586</v>
      </c>
      <c r="E27" s="16"/>
    </row>
    <row r="28">
      <c r="A28" s="16" t="s">
        <v>77</v>
      </c>
      <c r="B28" s="72">
        <v>43769.0</v>
      </c>
      <c r="C28" s="26">
        <v>31200.0</v>
      </c>
      <c r="D28" s="16" t="s">
        <v>586</v>
      </c>
      <c r="E28" s="16"/>
    </row>
    <row r="29">
      <c r="A29" s="16" t="s">
        <v>77</v>
      </c>
      <c r="B29" s="72">
        <v>43769.0</v>
      </c>
      <c r="C29" s="26">
        <v>31300.0</v>
      </c>
      <c r="D29" s="16" t="s">
        <v>586</v>
      </c>
      <c r="E29" s="16"/>
    </row>
    <row r="30">
      <c r="A30" s="16" t="s">
        <v>77</v>
      </c>
      <c r="B30" s="72">
        <v>43769.0</v>
      </c>
      <c r="C30" s="26">
        <v>31400.0</v>
      </c>
      <c r="D30" s="16" t="s">
        <v>586</v>
      </c>
      <c r="E30" s="16"/>
    </row>
    <row r="31">
      <c r="A31" s="16" t="s">
        <v>77</v>
      </c>
      <c r="B31" s="72">
        <v>43769.0</v>
      </c>
      <c r="C31" s="26">
        <v>31500.0</v>
      </c>
      <c r="D31" s="16" t="s">
        <v>586</v>
      </c>
      <c r="E31" s="16"/>
    </row>
    <row r="32">
      <c r="A32" s="16" t="s">
        <v>77</v>
      </c>
      <c r="B32" s="72">
        <v>43769.0</v>
      </c>
      <c r="C32" s="26">
        <v>32000.0</v>
      </c>
      <c r="D32" s="16" t="s">
        <v>586</v>
      </c>
      <c r="E32" s="16"/>
    </row>
    <row r="33">
      <c r="A33" s="16" t="s">
        <v>77</v>
      </c>
      <c r="B33" s="72">
        <v>43769.0</v>
      </c>
      <c r="C33" s="26">
        <v>27000.0</v>
      </c>
      <c r="D33" s="16" t="s">
        <v>587</v>
      </c>
      <c r="E33" s="16"/>
    </row>
    <row r="34">
      <c r="A34" s="16" t="s">
        <v>77</v>
      </c>
      <c r="B34" s="72">
        <v>43769.0</v>
      </c>
      <c r="C34" s="26">
        <v>27400.0</v>
      </c>
      <c r="D34" s="16" t="s">
        <v>587</v>
      </c>
      <c r="E34" s="16"/>
    </row>
    <row r="35">
      <c r="A35" s="16" t="s">
        <v>77</v>
      </c>
      <c r="B35" s="72">
        <v>43769.0</v>
      </c>
      <c r="C35" s="26">
        <v>27500.0</v>
      </c>
      <c r="D35" s="16" t="s">
        <v>587</v>
      </c>
      <c r="E35" s="16"/>
    </row>
    <row r="36">
      <c r="A36" s="16" t="s">
        <v>77</v>
      </c>
      <c r="B36" s="72">
        <v>43769.0</v>
      </c>
      <c r="C36" s="26">
        <v>27600.0</v>
      </c>
      <c r="D36" s="16" t="s">
        <v>587</v>
      </c>
      <c r="E36" s="16"/>
    </row>
    <row r="37">
      <c r="A37" s="16" t="s">
        <v>77</v>
      </c>
      <c r="B37" s="72">
        <v>43769.0</v>
      </c>
      <c r="C37" s="26">
        <v>27700.0</v>
      </c>
      <c r="D37" s="16" t="s">
        <v>587</v>
      </c>
      <c r="E37" s="16"/>
    </row>
    <row r="38">
      <c r="A38" s="16" t="s">
        <v>77</v>
      </c>
      <c r="B38" s="72">
        <v>43769.0</v>
      </c>
      <c r="C38" s="26">
        <v>27800.0</v>
      </c>
      <c r="D38" s="16" t="s">
        <v>587</v>
      </c>
      <c r="E38" s="16"/>
    </row>
    <row r="39">
      <c r="A39" s="16" t="s">
        <v>77</v>
      </c>
      <c r="B39" s="72">
        <v>43769.0</v>
      </c>
      <c r="C39" s="26">
        <v>27900.0</v>
      </c>
      <c r="D39" s="16" t="s">
        <v>587</v>
      </c>
      <c r="E39" s="16"/>
    </row>
    <row r="40">
      <c r="A40" s="16" t="s">
        <v>77</v>
      </c>
      <c r="B40" s="72">
        <v>43769.0</v>
      </c>
      <c r="C40" s="26">
        <v>28000.0</v>
      </c>
      <c r="D40" s="16" t="s">
        <v>587</v>
      </c>
      <c r="E40" s="16"/>
    </row>
    <row r="41">
      <c r="A41" s="16" t="s">
        <v>77</v>
      </c>
      <c r="B41" s="72">
        <v>43769.0</v>
      </c>
      <c r="C41" s="26">
        <v>28100.0</v>
      </c>
      <c r="D41" s="16" t="s">
        <v>587</v>
      </c>
      <c r="E41" s="16"/>
    </row>
    <row r="42">
      <c r="A42" s="16" t="s">
        <v>77</v>
      </c>
      <c r="B42" s="72">
        <v>43769.0</v>
      </c>
      <c r="C42" s="26">
        <v>28200.0</v>
      </c>
      <c r="D42" s="16" t="s">
        <v>587</v>
      </c>
      <c r="E42" s="16"/>
    </row>
    <row r="43">
      <c r="A43" s="16" t="s">
        <v>77</v>
      </c>
      <c r="B43" s="72">
        <v>43769.0</v>
      </c>
      <c r="C43" s="26">
        <v>28300.0</v>
      </c>
      <c r="D43" s="16" t="s">
        <v>587</v>
      </c>
      <c r="E43" s="16"/>
    </row>
    <row r="44">
      <c r="A44" s="16" t="s">
        <v>77</v>
      </c>
      <c r="B44" s="72">
        <v>43769.0</v>
      </c>
      <c r="C44" s="26">
        <v>28400.0</v>
      </c>
      <c r="D44" s="16" t="s">
        <v>587</v>
      </c>
      <c r="E44" s="16"/>
    </row>
    <row r="45">
      <c r="A45" s="16" t="s">
        <v>77</v>
      </c>
      <c r="B45" s="72">
        <v>43769.0</v>
      </c>
      <c r="C45" s="26">
        <v>28500.0</v>
      </c>
      <c r="D45" s="16" t="s">
        <v>587</v>
      </c>
      <c r="E45" s="16"/>
    </row>
    <row r="46">
      <c r="A46" s="16" t="s">
        <v>77</v>
      </c>
      <c r="B46" s="72">
        <v>43769.0</v>
      </c>
      <c r="C46" s="26">
        <v>28600.0</v>
      </c>
      <c r="D46" s="16" t="s">
        <v>587</v>
      </c>
      <c r="E46" s="16"/>
    </row>
    <row r="47">
      <c r="A47" s="16" t="s">
        <v>77</v>
      </c>
      <c r="B47" s="72">
        <v>43769.0</v>
      </c>
      <c r="C47" s="26">
        <v>28700.0</v>
      </c>
      <c r="D47" s="16" t="s">
        <v>587</v>
      </c>
      <c r="E47" s="16"/>
    </row>
    <row r="48">
      <c r="A48" s="16" t="s">
        <v>77</v>
      </c>
      <c r="B48" s="72">
        <v>43769.0</v>
      </c>
      <c r="C48" s="26">
        <v>28800.0</v>
      </c>
      <c r="D48" s="16" t="s">
        <v>587</v>
      </c>
      <c r="E48" s="16"/>
    </row>
    <row r="49">
      <c r="A49" s="16" t="s">
        <v>77</v>
      </c>
      <c r="B49" s="72">
        <v>43769.0</v>
      </c>
      <c r="C49" s="26">
        <v>28900.0</v>
      </c>
      <c r="D49" s="16" t="s">
        <v>587</v>
      </c>
      <c r="E49" s="16"/>
    </row>
    <row r="50">
      <c r="A50" s="16" t="s">
        <v>77</v>
      </c>
      <c r="B50" s="72">
        <v>43769.0</v>
      </c>
      <c r="C50" s="26">
        <v>29000.0</v>
      </c>
      <c r="D50" s="16" t="s">
        <v>587</v>
      </c>
      <c r="E50" s="16"/>
    </row>
    <row r="51">
      <c r="A51" s="16" t="s">
        <v>77</v>
      </c>
      <c r="B51" s="72">
        <v>43769.0</v>
      </c>
      <c r="C51" s="26">
        <v>29100.0</v>
      </c>
      <c r="D51" s="16" t="s">
        <v>587</v>
      </c>
      <c r="E51" s="16"/>
    </row>
    <row r="52">
      <c r="A52" s="16" t="s">
        <v>77</v>
      </c>
      <c r="B52" s="72">
        <v>43769.0</v>
      </c>
      <c r="C52" s="26">
        <v>29200.0</v>
      </c>
      <c r="D52" s="16" t="s">
        <v>587</v>
      </c>
      <c r="E52" s="16"/>
    </row>
    <row r="53">
      <c r="A53" s="16" t="s">
        <v>77</v>
      </c>
      <c r="B53" s="72">
        <v>43769.0</v>
      </c>
      <c r="C53" s="26">
        <v>29300.0</v>
      </c>
      <c r="D53" s="16" t="s">
        <v>587</v>
      </c>
      <c r="E53" s="16"/>
    </row>
    <row r="54">
      <c r="A54" s="16" t="s">
        <v>77</v>
      </c>
      <c r="B54" s="72">
        <v>43769.0</v>
      </c>
      <c r="C54" s="26">
        <v>29400.0</v>
      </c>
      <c r="D54" s="16" t="s">
        <v>587</v>
      </c>
      <c r="E54" s="16"/>
    </row>
    <row r="55">
      <c r="A55" s="16" t="s">
        <v>77</v>
      </c>
      <c r="B55" s="72">
        <v>43769.0</v>
      </c>
      <c r="C55" s="26">
        <v>29500.0</v>
      </c>
      <c r="D55" s="16" t="s">
        <v>587</v>
      </c>
      <c r="E55" s="16"/>
    </row>
    <row r="56">
      <c r="A56" s="16" t="s">
        <v>77</v>
      </c>
      <c r="B56" s="72">
        <v>43769.0</v>
      </c>
      <c r="C56" s="26">
        <v>29600.0</v>
      </c>
      <c r="D56" s="16" t="s">
        <v>587</v>
      </c>
      <c r="E56" s="16"/>
    </row>
    <row r="57">
      <c r="A57" s="16" t="s">
        <v>77</v>
      </c>
      <c r="B57" s="72">
        <v>43769.0</v>
      </c>
      <c r="C57" s="26">
        <v>29700.0</v>
      </c>
      <c r="D57" s="16" t="s">
        <v>587</v>
      </c>
      <c r="E57" s="16"/>
    </row>
    <row r="58">
      <c r="A58" s="16" t="s">
        <v>77</v>
      </c>
      <c r="B58" s="72">
        <v>43769.0</v>
      </c>
      <c r="C58" s="26">
        <v>29800.0</v>
      </c>
      <c r="D58" s="16" t="s">
        <v>587</v>
      </c>
      <c r="E58" s="16"/>
    </row>
    <row r="59">
      <c r="A59" s="16" t="s">
        <v>77</v>
      </c>
      <c r="B59" s="72">
        <v>43769.0</v>
      </c>
      <c r="C59" s="26">
        <v>29900.0</v>
      </c>
      <c r="D59" s="16" t="s">
        <v>587</v>
      </c>
      <c r="E59" s="16"/>
    </row>
    <row r="60">
      <c r="A60" s="16" t="s">
        <v>77</v>
      </c>
      <c r="B60" s="72">
        <v>43769.0</v>
      </c>
      <c r="C60" s="26">
        <v>30000.0</v>
      </c>
      <c r="D60" s="16" t="s">
        <v>587</v>
      </c>
      <c r="E60" s="16"/>
    </row>
    <row r="61">
      <c r="A61" s="16" t="s">
        <v>77</v>
      </c>
      <c r="B61" s="72">
        <v>43769.0</v>
      </c>
      <c r="C61" s="26">
        <v>30100.0</v>
      </c>
      <c r="D61" s="16" t="s">
        <v>587</v>
      </c>
      <c r="E61" s="16"/>
    </row>
    <row r="62">
      <c r="A62" s="16" t="s">
        <v>77</v>
      </c>
      <c r="B62" s="72">
        <v>43769.0</v>
      </c>
      <c r="C62" s="26">
        <v>30200.0</v>
      </c>
      <c r="D62" s="16" t="s">
        <v>587</v>
      </c>
      <c r="E62" s="16"/>
    </row>
    <row r="63">
      <c r="A63" s="16" t="s">
        <v>77</v>
      </c>
      <c r="B63" s="72">
        <v>43769.0</v>
      </c>
      <c r="C63" s="26">
        <v>30300.0</v>
      </c>
      <c r="D63" s="16" t="s">
        <v>587</v>
      </c>
      <c r="E63" s="16"/>
    </row>
    <row r="64">
      <c r="A64" s="16" t="s">
        <v>77</v>
      </c>
      <c r="B64" s="72">
        <v>43769.0</v>
      </c>
      <c r="C64" s="26">
        <v>30400.0</v>
      </c>
      <c r="D64" s="16" t="s">
        <v>587</v>
      </c>
      <c r="E64" s="16"/>
    </row>
    <row r="65">
      <c r="A65" s="16" t="s">
        <v>77</v>
      </c>
      <c r="B65" s="72">
        <v>43769.0</v>
      </c>
      <c r="C65" s="26">
        <v>30500.0</v>
      </c>
      <c r="D65" s="16" t="s">
        <v>587</v>
      </c>
      <c r="E65" s="16"/>
    </row>
    <row r="66">
      <c r="A66" s="16" t="s">
        <v>77</v>
      </c>
      <c r="B66" s="72">
        <v>43769.0</v>
      </c>
      <c r="C66" s="26">
        <v>30600.0</v>
      </c>
      <c r="D66" s="16" t="s">
        <v>587</v>
      </c>
      <c r="E66" s="16"/>
    </row>
    <row r="67">
      <c r="A67" s="16" t="s">
        <v>77</v>
      </c>
      <c r="B67" s="72">
        <v>43776.0</v>
      </c>
      <c r="C67" s="26">
        <v>29500.0</v>
      </c>
      <c r="D67" s="16" t="s">
        <v>586</v>
      </c>
      <c r="E67" s="16"/>
    </row>
    <row r="68">
      <c r="A68" s="16" t="s">
        <v>77</v>
      </c>
      <c r="B68" s="72">
        <v>43776.0</v>
      </c>
      <c r="C68" s="26">
        <v>30000.0</v>
      </c>
      <c r="D68" s="16" t="s">
        <v>586</v>
      </c>
      <c r="E68" s="16"/>
    </row>
    <row r="69">
      <c r="A69" s="16" t="s">
        <v>77</v>
      </c>
      <c r="B69" s="72">
        <v>43776.0</v>
      </c>
      <c r="C69" s="26">
        <v>30500.0</v>
      </c>
      <c r="D69" s="16" t="s">
        <v>586</v>
      </c>
      <c r="E69" s="16"/>
    </row>
    <row r="70">
      <c r="A70" s="16" t="s">
        <v>77</v>
      </c>
      <c r="B70" s="72">
        <v>43776.0</v>
      </c>
      <c r="C70" s="26">
        <v>31000.0</v>
      </c>
      <c r="D70" s="16" t="s">
        <v>586</v>
      </c>
      <c r="E70" s="16"/>
    </row>
    <row r="71">
      <c r="A71" s="16" t="s">
        <v>77</v>
      </c>
      <c r="B71" s="72">
        <v>43776.0</v>
      </c>
      <c r="C71" s="26">
        <v>28000.0</v>
      </c>
      <c r="D71" s="16" t="s">
        <v>587</v>
      </c>
      <c r="E71" s="16"/>
    </row>
    <row r="72">
      <c r="A72" s="16" t="s">
        <v>77</v>
      </c>
      <c r="B72" s="72">
        <v>43776.0</v>
      </c>
      <c r="C72" s="26">
        <v>28500.0</v>
      </c>
      <c r="D72" s="16" t="s">
        <v>587</v>
      </c>
      <c r="E72" s="16"/>
    </row>
    <row r="73">
      <c r="A73" s="16" t="s">
        <v>77</v>
      </c>
      <c r="B73" s="72">
        <v>43776.0</v>
      </c>
      <c r="C73" s="26">
        <v>29000.0</v>
      </c>
      <c r="D73" s="16" t="s">
        <v>587</v>
      </c>
      <c r="E73" s="16"/>
    </row>
    <row r="74">
      <c r="A74" s="16" t="s">
        <v>77</v>
      </c>
      <c r="B74" s="72">
        <v>43776.0</v>
      </c>
      <c r="C74" s="26">
        <v>29500.0</v>
      </c>
      <c r="D74" s="16" t="s">
        <v>587</v>
      </c>
      <c r="E74" s="16"/>
    </row>
    <row r="75">
      <c r="A75" s="16" t="s">
        <v>77</v>
      </c>
      <c r="B75" s="72">
        <v>43797.0</v>
      </c>
      <c r="C75" s="26">
        <v>30000.0</v>
      </c>
      <c r="D75" s="16" t="s">
        <v>586</v>
      </c>
      <c r="E75" s="16"/>
    </row>
    <row r="76">
      <c r="A76" s="16" t="s">
        <v>77</v>
      </c>
      <c r="B76" s="72">
        <v>43797.0</v>
      </c>
      <c r="C76" s="26">
        <v>30500.0</v>
      </c>
      <c r="D76" s="16" t="s">
        <v>586</v>
      </c>
      <c r="E76" s="16"/>
    </row>
    <row r="77">
      <c r="A77" s="16" t="s">
        <v>77</v>
      </c>
      <c r="B77" s="72">
        <v>43797.0</v>
      </c>
      <c r="C77" s="26">
        <v>31000.0</v>
      </c>
      <c r="D77" s="16" t="s">
        <v>586</v>
      </c>
      <c r="E77" s="16"/>
    </row>
    <row r="78">
      <c r="A78" s="16" t="s">
        <v>77</v>
      </c>
      <c r="B78" s="72">
        <v>43797.0</v>
      </c>
      <c r="C78" s="26">
        <v>28000.0</v>
      </c>
      <c r="D78" s="16" t="s">
        <v>587</v>
      </c>
      <c r="E78" s="16"/>
    </row>
    <row r="79">
      <c r="A79" s="16" t="s">
        <v>77</v>
      </c>
      <c r="B79" s="72">
        <v>43797.0</v>
      </c>
      <c r="C79" s="26">
        <v>28500.0</v>
      </c>
      <c r="D79" s="16" t="s">
        <v>587</v>
      </c>
      <c r="E79" s="16"/>
    </row>
    <row r="80">
      <c r="A80" s="16" t="s">
        <v>77</v>
      </c>
      <c r="B80" s="72">
        <v>43797.0</v>
      </c>
      <c r="C80" s="26">
        <v>29000.0</v>
      </c>
      <c r="D80" s="16" t="s">
        <v>587</v>
      </c>
      <c r="E80" s="16"/>
    </row>
    <row r="81">
      <c r="A81" s="16" t="s">
        <v>77</v>
      </c>
      <c r="B81" s="72">
        <v>43797.0</v>
      </c>
      <c r="C81" s="26">
        <v>29500.0</v>
      </c>
      <c r="D81" s="16" t="s">
        <v>587</v>
      </c>
      <c r="E81" s="16"/>
    </row>
    <row r="82">
      <c r="A82" s="16" t="s">
        <v>147</v>
      </c>
      <c r="B82" s="72">
        <v>43769.0</v>
      </c>
      <c r="C82" s="26">
        <v>11400.0</v>
      </c>
      <c r="D82" s="16" t="s">
        <v>586</v>
      </c>
      <c r="E82" s="16"/>
    </row>
    <row r="83">
      <c r="A83" s="16" t="s">
        <v>147</v>
      </c>
      <c r="B83" s="72">
        <v>43769.0</v>
      </c>
      <c r="C83" s="26">
        <v>11500.0</v>
      </c>
      <c r="D83" s="16" t="s">
        <v>586</v>
      </c>
      <c r="E83" s="16"/>
    </row>
    <row r="84">
      <c r="A84" s="16" t="s">
        <v>147</v>
      </c>
      <c r="B84" s="72">
        <v>43769.0</v>
      </c>
      <c r="C84" s="26">
        <v>11550.0</v>
      </c>
      <c r="D84" s="16" t="s">
        <v>586</v>
      </c>
      <c r="E84" s="16"/>
    </row>
    <row r="85">
      <c r="A85" s="16" t="s">
        <v>147</v>
      </c>
      <c r="B85" s="72">
        <v>43769.0</v>
      </c>
      <c r="C85" s="26">
        <v>11600.0</v>
      </c>
      <c r="D85" s="16" t="s">
        <v>586</v>
      </c>
      <c r="E85" s="16"/>
    </row>
    <row r="86">
      <c r="A86" s="16" t="s">
        <v>147</v>
      </c>
      <c r="B86" s="72">
        <v>43769.0</v>
      </c>
      <c r="C86" s="26">
        <v>11650.0</v>
      </c>
      <c r="D86" s="16" t="s">
        <v>586</v>
      </c>
      <c r="E86" s="16"/>
    </row>
    <row r="87">
      <c r="A87" s="16" t="s">
        <v>147</v>
      </c>
      <c r="B87" s="72">
        <v>43769.0</v>
      </c>
      <c r="C87" s="26">
        <v>11700.0</v>
      </c>
      <c r="D87" s="16" t="s">
        <v>586</v>
      </c>
      <c r="E87" s="16"/>
    </row>
    <row r="88">
      <c r="A88" s="16" t="s">
        <v>147</v>
      </c>
      <c r="B88" s="72">
        <v>43769.0</v>
      </c>
      <c r="C88" s="26">
        <v>11750.0</v>
      </c>
      <c r="D88" s="16" t="s">
        <v>586</v>
      </c>
      <c r="E88" s="16"/>
    </row>
    <row r="89">
      <c r="A89" s="16" t="s">
        <v>147</v>
      </c>
      <c r="B89" s="72">
        <v>43769.0</v>
      </c>
      <c r="C89" s="26">
        <v>11800.0</v>
      </c>
      <c r="D89" s="16" t="s">
        <v>586</v>
      </c>
      <c r="E89" s="16"/>
    </row>
    <row r="90">
      <c r="A90" s="16" t="s">
        <v>147</v>
      </c>
      <c r="B90" s="72">
        <v>43769.0</v>
      </c>
      <c r="C90" s="26">
        <v>11850.0</v>
      </c>
      <c r="D90" s="16" t="s">
        <v>586</v>
      </c>
      <c r="E90" s="16"/>
    </row>
    <row r="91">
      <c r="A91" s="16" t="s">
        <v>147</v>
      </c>
      <c r="B91" s="72">
        <v>43769.0</v>
      </c>
      <c r="C91" s="26">
        <v>11900.0</v>
      </c>
      <c r="D91" s="16" t="s">
        <v>586</v>
      </c>
      <c r="E91" s="16"/>
    </row>
    <row r="92">
      <c r="A92" s="16" t="s">
        <v>147</v>
      </c>
      <c r="B92" s="72">
        <v>43769.0</v>
      </c>
      <c r="C92" s="26">
        <v>11950.0</v>
      </c>
      <c r="D92" s="16" t="s">
        <v>586</v>
      </c>
      <c r="E92" s="16"/>
    </row>
    <row r="93">
      <c r="A93" s="16" t="s">
        <v>147</v>
      </c>
      <c r="B93" s="72">
        <v>43769.0</v>
      </c>
      <c r="C93" s="26">
        <v>12000.0</v>
      </c>
      <c r="D93" s="16" t="s">
        <v>586</v>
      </c>
      <c r="E93" s="16"/>
    </row>
    <row r="94">
      <c r="A94" s="16" t="s">
        <v>147</v>
      </c>
      <c r="B94" s="72">
        <v>43769.0</v>
      </c>
      <c r="C94" s="26">
        <v>12050.0</v>
      </c>
      <c r="D94" s="16" t="s">
        <v>586</v>
      </c>
      <c r="E94" s="16"/>
    </row>
    <row r="95">
      <c r="A95" s="16" t="s">
        <v>147</v>
      </c>
      <c r="B95" s="72">
        <v>43769.0</v>
      </c>
      <c r="C95" s="26">
        <v>12100.0</v>
      </c>
      <c r="D95" s="16" t="s">
        <v>586</v>
      </c>
      <c r="E95" s="16"/>
    </row>
    <row r="96">
      <c r="A96" s="16" t="s">
        <v>147</v>
      </c>
      <c r="B96" s="72">
        <v>43769.0</v>
      </c>
      <c r="C96" s="26">
        <v>12150.0</v>
      </c>
      <c r="D96" s="16" t="s">
        <v>586</v>
      </c>
      <c r="E96" s="16"/>
    </row>
    <row r="97">
      <c r="A97" s="16" t="s">
        <v>147</v>
      </c>
      <c r="B97" s="72">
        <v>43769.0</v>
      </c>
      <c r="C97" s="26">
        <v>12200.0</v>
      </c>
      <c r="D97" s="16" t="s">
        <v>586</v>
      </c>
      <c r="E97" s="16"/>
    </row>
    <row r="98">
      <c r="A98" s="16" t="s">
        <v>147</v>
      </c>
      <c r="B98" s="72">
        <v>43769.0</v>
      </c>
      <c r="C98" s="26">
        <v>12300.0</v>
      </c>
      <c r="D98" s="16" t="s">
        <v>586</v>
      </c>
      <c r="E98" s="16"/>
    </row>
    <row r="99">
      <c r="A99" s="16" t="s">
        <v>147</v>
      </c>
      <c r="B99" s="72">
        <v>43769.0</v>
      </c>
      <c r="C99" s="26">
        <v>12500.0</v>
      </c>
      <c r="D99" s="16" t="s">
        <v>586</v>
      </c>
      <c r="E99" s="16"/>
    </row>
    <row r="100">
      <c r="A100" s="16" t="s">
        <v>147</v>
      </c>
      <c r="B100" s="72">
        <v>43769.0</v>
      </c>
      <c r="C100" s="26">
        <v>10500.0</v>
      </c>
      <c r="D100" s="16" t="s">
        <v>587</v>
      </c>
      <c r="E100" s="16"/>
    </row>
    <row r="101">
      <c r="A101" s="16" t="s">
        <v>147</v>
      </c>
      <c r="B101" s="72">
        <v>43769.0</v>
      </c>
      <c r="C101" s="26">
        <v>10700.0</v>
      </c>
      <c r="D101" s="16" t="s">
        <v>587</v>
      </c>
      <c r="E101" s="16"/>
    </row>
    <row r="102">
      <c r="A102" s="16" t="s">
        <v>147</v>
      </c>
      <c r="B102" s="72">
        <v>43769.0</v>
      </c>
      <c r="C102" s="26">
        <v>10800.0</v>
      </c>
      <c r="D102" s="16" t="s">
        <v>587</v>
      </c>
      <c r="E102" s="16"/>
    </row>
    <row r="103">
      <c r="A103" s="16" t="s">
        <v>147</v>
      </c>
      <c r="B103" s="72">
        <v>43769.0</v>
      </c>
      <c r="C103" s="26">
        <v>10900.0</v>
      </c>
      <c r="D103" s="16" t="s">
        <v>587</v>
      </c>
      <c r="E103" s="16"/>
    </row>
    <row r="104">
      <c r="A104" s="16" t="s">
        <v>147</v>
      </c>
      <c r="B104" s="72">
        <v>43769.0</v>
      </c>
      <c r="C104" s="26">
        <v>11000.0</v>
      </c>
      <c r="D104" s="16" t="s">
        <v>587</v>
      </c>
      <c r="E104" s="16"/>
    </row>
    <row r="105">
      <c r="A105" s="16" t="s">
        <v>147</v>
      </c>
      <c r="B105" s="72">
        <v>43769.0</v>
      </c>
      <c r="C105" s="26">
        <v>11100.0</v>
      </c>
      <c r="D105" s="16" t="s">
        <v>587</v>
      </c>
      <c r="E105" s="16"/>
    </row>
    <row r="106">
      <c r="A106" s="16" t="s">
        <v>147</v>
      </c>
      <c r="B106" s="72">
        <v>43769.0</v>
      </c>
      <c r="C106" s="26">
        <v>11200.0</v>
      </c>
      <c r="D106" s="16" t="s">
        <v>587</v>
      </c>
      <c r="E106" s="16"/>
    </row>
    <row r="107">
      <c r="A107" s="16" t="s">
        <v>147</v>
      </c>
      <c r="B107" s="72">
        <v>43769.0</v>
      </c>
      <c r="C107" s="26">
        <v>11250.0</v>
      </c>
      <c r="D107" s="16" t="s">
        <v>587</v>
      </c>
      <c r="E107" s="16"/>
    </row>
    <row r="108">
      <c r="A108" s="16" t="s">
        <v>147</v>
      </c>
      <c r="B108" s="72">
        <v>43769.0</v>
      </c>
      <c r="C108" s="26">
        <v>11300.0</v>
      </c>
      <c r="D108" s="16" t="s">
        <v>587</v>
      </c>
      <c r="E108" s="16"/>
    </row>
    <row r="109">
      <c r="A109" s="16" t="s">
        <v>147</v>
      </c>
      <c r="B109" s="72">
        <v>43769.0</v>
      </c>
      <c r="C109" s="26">
        <v>11350.0</v>
      </c>
      <c r="D109" s="16" t="s">
        <v>587</v>
      </c>
      <c r="E109" s="16"/>
    </row>
    <row r="110">
      <c r="A110" s="16" t="s">
        <v>147</v>
      </c>
      <c r="B110" s="72">
        <v>43769.0</v>
      </c>
      <c r="C110" s="26">
        <v>11400.0</v>
      </c>
      <c r="D110" s="16" t="s">
        <v>587</v>
      </c>
      <c r="E110" s="16"/>
    </row>
    <row r="111">
      <c r="A111" s="16" t="s">
        <v>147</v>
      </c>
      <c r="B111" s="72">
        <v>43769.0</v>
      </c>
      <c r="C111" s="26">
        <v>11450.0</v>
      </c>
      <c r="D111" s="16" t="s">
        <v>587</v>
      </c>
      <c r="E111" s="16"/>
    </row>
    <row r="112">
      <c r="A112" s="16" t="s">
        <v>147</v>
      </c>
      <c r="B112" s="72">
        <v>43769.0</v>
      </c>
      <c r="C112" s="26">
        <v>11500.0</v>
      </c>
      <c r="D112" s="16" t="s">
        <v>587</v>
      </c>
      <c r="E112" s="16"/>
    </row>
    <row r="113">
      <c r="A113" s="16" t="s">
        <v>147</v>
      </c>
      <c r="B113" s="72">
        <v>43769.0</v>
      </c>
      <c r="C113" s="26">
        <v>11550.0</v>
      </c>
      <c r="D113" s="16" t="s">
        <v>587</v>
      </c>
      <c r="E113" s="16"/>
    </row>
    <row r="114">
      <c r="A114" s="16" t="s">
        <v>147</v>
      </c>
      <c r="B114" s="72">
        <v>43769.0</v>
      </c>
      <c r="C114" s="26">
        <v>11600.0</v>
      </c>
      <c r="D114" s="16" t="s">
        <v>587</v>
      </c>
      <c r="E114" s="16"/>
    </row>
    <row r="115">
      <c r="A115" s="16" t="s">
        <v>147</v>
      </c>
      <c r="B115" s="72">
        <v>43769.0</v>
      </c>
      <c r="C115" s="26">
        <v>11650.0</v>
      </c>
      <c r="D115" s="16" t="s">
        <v>587</v>
      </c>
      <c r="E115" s="16"/>
    </row>
    <row r="116">
      <c r="A116" s="16" t="s">
        <v>147</v>
      </c>
      <c r="B116" s="72">
        <v>43769.0</v>
      </c>
      <c r="C116" s="26">
        <v>11700.0</v>
      </c>
      <c r="D116" s="16" t="s">
        <v>587</v>
      </c>
      <c r="E116" s="16"/>
    </row>
    <row r="117">
      <c r="A117" s="16" t="s">
        <v>147</v>
      </c>
      <c r="B117" s="72">
        <v>43769.0</v>
      </c>
      <c r="C117" s="26">
        <v>11750.0</v>
      </c>
      <c r="D117" s="16" t="s">
        <v>587</v>
      </c>
      <c r="E117" s="16"/>
    </row>
    <row r="118">
      <c r="A118" s="16" t="s">
        <v>147</v>
      </c>
      <c r="B118" s="72">
        <v>43769.0</v>
      </c>
      <c r="C118" s="26">
        <v>11800.0</v>
      </c>
      <c r="D118" s="16" t="s">
        <v>587</v>
      </c>
      <c r="E118" s="16"/>
    </row>
    <row r="119">
      <c r="A119" s="16" t="s">
        <v>147</v>
      </c>
      <c r="B119" s="72">
        <v>43769.0</v>
      </c>
      <c r="C119" s="26">
        <v>11850.0</v>
      </c>
      <c r="D119" s="16" t="s">
        <v>587</v>
      </c>
      <c r="E119" s="16"/>
    </row>
    <row r="120">
      <c r="A120" s="16" t="s">
        <v>147</v>
      </c>
      <c r="B120" s="72">
        <v>43769.0</v>
      </c>
      <c r="C120" s="26">
        <v>11900.0</v>
      </c>
      <c r="D120" s="16" t="s">
        <v>587</v>
      </c>
      <c r="E120" s="16"/>
    </row>
    <row r="121">
      <c r="A121" s="16" t="s">
        <v>147</v>
      </c>
      <c r="B121" s="72">
        <v>43769.0</v>
      </c>
      <c r="C121" s="26">
        <v>11950.0</v>
      </c>
      <c r="D121" s="16" t="s">
        <v>587</v>
      </c>
      <c r="E121" s="16"/>
    </row>
    <row r="122">
      <c r="A122" s="16" t="s">
        <v>147</v>
      </c>
      <c r="B122" s="72">
        <v>43769.0</v>
      </c>
      <c r="C122" s="26">
        <v>12000.0</v>
      </c>
      <c r="D122" s="16" t="s">
        <v>587</v>
      </c>
      <c r="E122" s="16"/>
    </row>
    <row r="123">
      <c r="A123" s="16" t="s">
        <v>147</v>
      </c>
      <c r="B123" s="72">
        <v>43769.0</v>
      </c>
      <c r="C123" s="26">
        <v>12050.0</v>
      </c>
      <c r="D123" s="16" t="s">
        <v>587</v>
      </c>
      <c r="E123" s="16"/>
    </row>
    <row r="124">
      <c r="A124" s="16" t="s">
        <v>147</v>
      </c>
      <c r="B124" s="72">
        <v>43776.0</v>
      </c>
      <c r="C124" s="26">
        <v>11600.0</v>
      </c>
      <c r="D124" s="16" t="s">
        <v>586</v>
      </c>
      <c r="E124" s="16"/>
    </row>
    <row r="125">
      <c r="A125" s="16" t="s">
        <v>147</v>
      </c>
      <c r="B125" s="72">
        <v>43776.0</v>
      </c>
      <c r="C125" s="26">
        <v>11700.0</v>
      </c>
      <c r="D125" s="16" t="s">
        <v>586</v>
      </c>
      <c r="E125" s="16"/>
    </row>
    <row r="126">
      <c r="A126" s="16" t="s">
        <v>147</v>
      </c>
      <c r="B126" s="72">
        <v>43776.0</v>
      </c>
      <c r="C126" s="26">
        <v>11800.0</v>
      </c>
      <c r="D126" s="16" t="s">
        <v>586</v>
      </c>
      <c r="E126" s="16"/>
    </row>
    <row r="127">
      <c r="A127" s="16" t="s">
        <v>147</v>
      </c>
      <c r="B127" s="72">
        <v>43776.0</v>
      </c>
      <c r="C127" s="26">
        <v>11850.0</v>
      </c>
      <c r="D127" s="16" t="s">
        <v>586</v>
      </c>
      <c r="E127" s="16"/>
    </row>
    <row r="128">
      <c r="A128" s="16" t="s">
        <v>147</v>
      </c>
      <c r="B128" s="72">
        <v>43776.0</v>
      </c>
      <c r="C128" s="26">
        <v>11900.0</v>
      </c>
      <c r="D128" s="16" t="s">
        <v>586</v>
      </c>
      <c r="E128" s="16"/>
    </row>
    <row r="129">
      <c r="A129" s="16" t="s">
        <v>147</v>
      </c>
      <c r="B129" s="72">
        <v>43776.0</v>
      </c>
      <c r="C129" s="26">
        <v>12000.0</v>
      </c>
      <c r="D129" s="16" t="s">
        <v>586</v>
      </c>
      <c r="E129" s="16"/>
    </row>
    <row r="130">
      <c r="A130" s="16" t="s">
        <v>147</v>
      </c>
      <c r="B130" s="72">
        <v>43776.0</v>
      </c>
      <c r="C130" s="26">
        <v>12100.0</v>
      </c>
      <c r="D130" s="16" t="s">
        <v>586</v>
      </c>
      <c r="E130" s="16"/>
    </row>
    <row r="131">
      <c r="A131" s="16" t="s">
        <v>147</v>
      </c>
      <c r="B131" s="72">
        <v>43776.0</v>
      </c>
      <c r="C131" s="26">
        <v>12200.0</v>
      </c>
      <c r="D131" s="16" t="s">
        <v>586</v>
      </c>
      <c r="E131" s="16"/>
    </row>
    <row r="132">
      <c r="A132" s="16" t="s">
        <v>147</v>
      </c>
      <c r="B132" s="72">
        <v>43776.0</v>
      </c>
      <c r="C132" s="26">
        <v>9200.0</v>
      </c>
      <c r="D132" s="16" t="s">
        <v>587</v>
      </c>
      <c r="E132" s="16"/>
    </row>
    <row r="133">
      <c r="A133" s="16" t="s">
        <v>147</v>
      </c>
      <c r="B133" s="72">
        <v>43776.0</v>
      </c>
      <c r="C133" s="26">
        <v>9250.0</v>
      </c>
      <c r="D133" s="16" t="s">
        <v>587</v>
      </c>
      <c r="E133" s="16"/>
    </row>
    <row r="134">
      <c r="A134" s="16" t="s">
        <v>147</v>
      </c>
      <c r="B134" s="72">
        <v>43776.0</v>
      </c>
      <c r="C134" s="26">
        <v>11200.0</v>
      </c>
      <c r="D134" s="16" t="s">
        <v>587</v>
      </c>
      <c r="E134" s="16"/>
    </row>
    <row r="135">
      <c r="A135" s="16" t="s">
        <v>147</v>
      </c>
      <c r="B135" s="72">
        <v>43776.0</v>
      </c>
      <c r="C135" s="26">
        <v>11300.0</v>
      </c>
      <c r="D135" s="16" t="s">
        <v>587</v>
      </c>
      <c r="E135" s="16"/>
    </row>
    <row r="136">
      <c r="A136" s="16" t="s">
        <v>147</v>
      </c>
      <c r="B136" s="72">
        <v>43776.0</v>
      </c>
      <c r="C136" s="26">
        <v>11400.0</v>
      </c>
      <c r="D136" s="16" t="s">
        <v>587</v>
      </c>
      <c r="E136" s="16"/>
    </row>
    <row r="137">
      <c r="A137" s="16" t="s">
        <v>147</v>
      </c>
      <c r="B137" s="72">
        <v>43776.0</v>
      </c>
      <c r="C137" s="26">
        <v>11500.0</v>
      </c>
      <c r="D137" s="16" t="s">
        <v>587</v>
      </c>
      <c r="E137" s="16"/>
    </row>
    <row r="138">
      <c r="A138" s="16" t="s">
        <v>147</v>
      </c>
      <c r="B138" s="72">
        <v>43776.0</v>
      </c>
      <c r="C138" s="26">
        <v>11600.0</v>
      </c>
      <c r="D138" s="16" t="s">
        <v>587</v>
      </c>
      <c r="E138" s="16"/>
    </row>
    <row r="139">
      <c r="A139" s="16" t="s">
        <v>147</v>
      </c>
      <c r="B139" s="72">
        <v>43776.0</v>
      </c>
      <c r="C139" s="26">
        <v>11650.0</v>
      </c>
      <c r="D139" s="16" t="s">
        <v>587</v>
      </c>
      <c r="E139" s="16"/>
    </row>
    <row r="140">
      <c r="A140" s="16" t="s">
        <v>147</v>
      </c>
      <c r="B140" s="72">
        <v>43776.0</v>
      </c>
      <c r="C140" s="26">
        <v>11700.0</v>
      </c>
      <c r="D140" s="16" t="s">
        <v>587</v>
      </c>
      <c r="E140" s="16"/>
    </row>
    <row r="141">
      <c r="A141" s="16" t="s">
        <v>147</v>
      </c>
      <c r="B141" s="72">
        <v>43776.0</v>
      </c>
      <c r="C141" s="26">
        <v>11800.0</v>
      </c>
      <c r="D141" s="16" t="s">
        <v>587</v>
      </c>
      <c r="E141" s="16"/>
    </row>
    <row r="142">
      <c r="A142" s="16" t="s">
        <v>147</v>
      </c>
      <c r="B142" s="72">
        <v>43797.0</v>
      </c>
      <c r="C142" s="26">
        <v>11500.0</v>
      </c>
      <c r="D142" s="16" t="s">
        <v>586</v>
      </c>
      <c r="E142" s="16"/>
    </row>
    <row r="143">
      <c r="A143" s="16" t="s">
        <v>147</v>
      </c>
      <c r="B143" s="72">
        <v>43797.0</v>
      </c>
      <c r="C143" s="26">
        <v>11600.0</v>
      </c>
      <c r="D143" s="16" t="s">
        <v>586</v>
      </c>
      <c r="E143" s="16"/>
    </row>
    <row r="144">
      <c r="A144" s="16" t="s">
        <v>147</v>
      </c>
      <c r="B144" s="72">
        <v>43797.0</v>
      </c>
      <c r="C144" s="26">
        <v>11700.0</v>
      </c>
      <c r="D144" s="16" t="s">
        <v>586</v>
      </c>
      <c r="E144" s="16"/>
    </row>
    <row r="145">
      <c r="A145" s="16" t="s">
        <v>147</v>
      </c>
      <c r="B145" s="72">
        <v>43797.0</v>
      </c>
      <c r="C145" s="26">
        <v>11800.0</v>
      </c>
      <c r="D145" s="16" t="s">
        <v>586</v>
      </c>
      <c r="E145" s="16"/>
    </row>
    <row r="146">
      <c r="A146" s="16" t="s">
        <v>147</v>
      </c>
      <c r="B146" s="72">
        <v>43797.0</v>
      </c>
      <c r="C146" s="26">
        <v>11900.0</v>
      </c>
      <c r="D146" s="16" t="s">
        <v>586</v>
      </c>
      <c r="E146" s="16"/>
    </row>
    <row r="147">
      <c r="A147" s="16" t="s">
        <v>147</v>
      </c>
      <c r="B147" s="72">
        <v>43797.0</v>
      </c>
      <c r="C147" s="26">
        <v>12000.0</v>
      </c>
      <c r="D147" s="16" t="s">
        <v>586</v>
      </c>
      <c r="E147" s="16"/>
    </row>
    <row r="148">
      <c r="A148" s="16" t="s">
        <v>147</v>
      </c>
      <c r="B148" s="72">
        <v>43797.0</v>
      </c>
      <c r="C148" s="26">
        <v>12100.0</v>
      </c>
      <c r="D148" s="16" t="s">
        <v>586</v>
      </c>
      <c r="E148" s="16"/>
    </row>
    <row r="149">
      <c r="A149" s="16" t="s">
        <v>147</v>
      </c>
      <c r="B149" s="72">
        <v>43797.0</v>
      </c>
      <c r="C149" s="26">
        <v>12200.0</v>
      </c>
      <c r="D149" s="16" t="s">
        <v>586</v>
      </c>
      <c r="E149" s="16"/>
    </row>
    <row r="150">
      <c r="A150" s="16" t="s">
        <v>147</v>
      </c>
      <c r="B150" s="72">
        <v>43797.0</v>
      </c>
      <c r="C150" s="26">
        <v>12300.0</v>
      </c>
      <c r="D150" s="16" t="s">
        <v>586</v>
      </c>
      <c r="E150" s="16"/>
    </row>
    <row r="151">
      <c r="A151" s="16" t="s">
        <v>147</v>
      </c>
      <c r="B151" s="72">
        <v>43797.0</v>
      </c>
      <c r="C151" s="26">
        <v>12500.0</v>
      </c>
      <c r="D151" s="16" t="s">
        <v>586</v>
      </c>
      <c r="E151" s="16"/>
    </row>
    <row r="152">
      <c r="A152" s="16" t="s">
        <v>147</v>
      </c>
      <c r="B152" s="72">
        <v>43797.0</v>
      </c>
      <c r="C152" s="26">
        <v>10000.0</v>
      </c>
      <c r="D152" s="16" t="s">
        <v>587</v>
      </c>
      <c r="E152" s="16"/>
    </row>
    <row r="153">
      <c r="A153" s="16" t="s">
        <v>147</v>
      </c>
      <c r="B153" s="72">
        <v>43797.0</v>
      </c>
      <c r="C153" s="26">
        <v>11000.0</v>
      </c>
      <c r="D153" s="16" t="s">
        <v>587</v>
      </c>
      <c r="E153" s="16"/>
    </row>
    <row r="154">
      <c r="A154" s="16" t="s">
        <v>147</v>
      </c>
      <c r="B154" s="72">
        <v>43797.0</v>
      </c>
      <c r="C154" s="26">
        <v>11100.0</v>
      </c>
      <c r="D154" s="16" t="s">
        <v>587</v>
      </c>
      <c r="E154" s="16"/>
    </row>
    <row r="155">
      <c r="A155" s="16" t="s">
        <v>147</v>
      </c>
      <c r="B155" s="72">
        <v>43797.0</v>
      </c>
      <c r="C155" s="26">
        <v>11200.0</v>
      </c>
      <c r="D155" s="16" t="s">
        <v>587</v>
      </c>
      <c r="E155" s="16"/>
    </row>
    <row r="156">
      <c r="A156" s="16" t="s">
        <v>147</v>
      </c>
      <c r="B156" s="72">
        <v>43797.0</v>
      </c>
      <c r="C156" s="26">
        <v>11300.0</v>
      </c>
      <c r="D156" s="16" t="s">
        <v>587</v>
      </c>
      <c r="E156" s="16"/>
    </row>
    <row r="157">
      <c r="A157" s="16" t="s">
        <v>147</v>
      </c>
      <c r="B157" s="72">
        <v>43797.0</v>
      </c>
      <c r="C157" s="26">
        <v>11400.0</v>
      </c>
      <c r="D157" s="16" t="s">
        <v>587</v>
      </c>
      <c r="E157" s="16"/>
    </row>
    <row r="158">
      <c r="A158" s="16" t="s">
        <v>147</v>
      </c>
      <c r="B158" s="72">
        <v>43797.0</v>
      </c>
      <c r="C158" s="26">
        <v>11500.0</v>
      </c>
      <c r="D158" s="16" t="s">
        <v>587</v>
      </c>
      <c r="E158" s="16"/>
    </row>
    <row r="159">
      <c r="A159" s="16" t="s">
        <v>147</v>
      </c>
      <c r="B159" s="72">
        <v>43797.0</v>
      </c>
      <c r="C159" s="26">
        <v>11600.0</v>
      </c>
      <c r="D159" s="16" t="s">
        <v>587</v>
      </c>
      <c r="E159" s="16"/>
    </row>
    <row r="160">
      <c r="A160" s="16" t="s">
        <v>147</v>
      </c>
      <c r="B160" s="72">
        <v>43797.0</v>
      </c>
      <c r="C160" s="26">
        <v>11700.0</v>
      </c>
      <c r="D160" s="16" t="s">
        <v>587</v>
      </c>
      <c r="E160" s="16"/>
    </row>
    <row r="161">
      <c r="A161" s="16" t="s">
        <v>147</v>
      </c>
      <c r="B161" s="72">
        <v>43797.0</v>
      </c>
      <c r="C161" s="26">
        <v>11800.0</v>
      </c>
      <c r="D161" s="16" t="s">
        <v>587</v>
      </c>
      <c r="E161" s="16"/>
    </row>
    <row r="162">
      <c r="A162" s="16" t="s">
        <v>147</v>
      </c>
      <c r="B162" s="72">
        <v>43797.0</v>
      </c>
      <c r="C162" s="26">
        <v>12000.0</v>
      </c>
      <c r="D162" s="16" t="s">
        <v>587</v>
      </c>
      <c r="E162" s="16"/>
    </row>
    <row r="163">
      <c r="A163" s="16" t="s">
        <v>29</v>
      </c>
      <c r="B163" s="72">
        <v>43769.0</v>
      </c>
      <c r="C163" s="26">
        <v>190.0</v>
      </c>
      <c r="D163" s="16" t="s">
        <v>586</v>
      </c>
      <c r="E163" s="16"/>
    </row>
    <row r="164">
      <c r="A164" s="16" t="s">
        <v>29</v>
      </c>
      <c r="B164" s="72">
        <v>43769.0</v>
      </c>
      <c r="C164" s="26">
        <v>195.0</v>
      </c>
      <c r="D164" s="16" t="s">
        <v>586</v>
      </c>
      <c r="E164" s="16"/>
    </row>
    <row r="165">
      <c r="A165" s="16" t="s">
        <v>29</v>
      </c>
      <c r="B165" s="72">
        <v>43769.0</v>
      </c>
      <c r="C165" s="26">
        <v>200.0</v>
      </c>
      <c r="D165" s="16" t="s">
        <v>586</v>
      </c>
      <c r="E165" s="16"/>
    </row>
    <row r="166">
      <c r="A166" s="16" t="s">
        <v>29</v>
      </c>
      <c r="B166" s="72">
        <v>43769.0</v>
      </c>
      <c r="C166" s="26">
        <v>180.0</v>
      </c>
      <c r="D166" s="16" t="s">
        <v>587</v>
      </c>
      <c r="E166" s="16"/>
    </row>
    <row r="167">
      <c r="A167" s="16" t="s">
        <v>40</v>
      </c>
      <c r="B167" s="72">
        <v>43769.0</v>
      </c>
      <c r="C167" s="26">
        <v>75.0</v>
      </c>
      <c r="D167" s="16" t="s">
        <v>586</v>
      </c>
      <c r="E167" s="16"/>
    </row>
    <row r="168">
      <c r="A168" s="16" t="s">
        <v>40</v>
      </c>
      <c r="B168" s="72">
        <v>43769.0</v>
      </c>
      <c r="C168" s="26">
        <v>77.5</v>
      </c>
      <c r="D168" s="16" t="s">
        <v>586</v>
      </c>
      <c r="E168" s="16"/>
    </row>
    <row r="169">
      <c r="A169" s="16" t="s">
        <v>40</v>
      </c>
      <c r="B169" s="72">
        <v>43769.0</v>
      </c>
      <c r="C169" s="26">
        <v>80.0</v>
      </c>
      <c r="D169" s="16" t="s">
        <v>586</v>
      </c>
      <c r="E169" s="16"/>
    </row>
    <row r="170">
      <c r="A170" s="16" t="s">
        <v>40</v>
      </c>
      <c r="B170" s="72">
        <v>43769.0</v>
      </c>
      <c r="C170" s="26">
        <v>82.5</v>
      </c>
      <c r="D170" s="16" t="s">
        <v>586</v>
      </c>
      <c r="E170" s="16"/>
    </row>
    <row r="171">
      <c r="A171" s="16" t="s">
        <v>40</v>
      </c>
      <c r="B171" s="72">
        <v>43769.0</v>
      </c>
      <c r="C171" s="26">
        <v>85.0</v>
      </c>
      <c r="D171" s="16" t="s">
        <v>586</v>
      </c>
      <c r="E171" s="16"/>
    </row>
    <row r="172">
      <c r="A172" s="16" t="s">
        <v>40</v>
      </c>
      <c r="B172" s="72">
        <v>43769.0</v>
      </c>
      <c r="C172" s="26">
        <v>90.0</v>
      </c>
      <c r="D172" s="16" t="s">
        <v>586</v>
      </c>
      <c r="E172" s="16"/>
    </row>
    <row r="173">
      <c r="A173" s="16" t="s">
        <v>40</v>
      </c>
      <c r="B173" s="72">
        <v>43769.0</v>
      </c>
      <c r="C173" s="26">
        <v>75.0</v>
      </c>
      <c r="D173" s="16" t="s">
        <v>587</v>
      </c>
      <c r="E173" s="16"/>
    </row>
    <row r="174">
      <c r="A174" s="16" t="s">
        <v>40</v>
      </c>
      <c r="B174" s="72">
        <v>43769.0</v>
      </c>
      <c r="C174" s="26">
        <v>77.5</v>
      </c>
      <c r="D174" s="16" t="s">
        <v>587</v>
      </c>
      <c r="E174" s="16"/>
    </row>
    <row r="175">
      <c r="A175" s="16" t="s">
        <v>42</v>
      </c>
      <c r="B175" s="72">
        <v>43769.0</v>
      </c>
      <c r="C175" s="26">
        <v>1800.0</v>
      </c>
      <c r="D175" s="16" t="s">
        <v>586</v>
      </c>
      <c r="E175" s="16"/>
    </row>
    <row r="176">
      <c r="A176" s="16" t="s">
        <v>42</v>
      </c>
      <c r="B176" s="72">
        <v>43769.0</v>
      </c>
      <c r="C176" s="26">
        <v>1820.0</v>
      </c>
      <c r="D176" s="16" t="s">
        <v>586</v>
      </c>
      <c r="E176" s="16"/>
    </row>
    <row r="177">
      <c r="A177" s="16" t="s">
        <v>42</v>
      </c>
      <c r="B177" s="72">
        <v>43769.0</v>
      </c>
      <c r="C177" s="26">
        <v>1840.0</v>
      </c>
      <c r="D177" s="16" t="s">
        <v>586</v>
      </c>
      <c r="E177" s="16"/>
    </row>
    <row r="178">
      <c r="A178" s="16" t="s">
        <v>43</v>
      </c>
      <c r="B178" s="72">
        <v>43769.0</v>
      </c>
      <c r="C178" s="26">
        <v>480.0</v>
      </c>
      <c r="D178" s="16" t="s">
        <v>586</v>
      </c>
      <c r="E178" s="16"/>
    </row>
    <row r="179">
      <c r="A179" s="16" t="s">
        <v>43</v>
      </c>
      <c r="B179" s="72">
        <v>43769.0</v>
      </c>
      <c r="C179" s="26">
        <v>500.0</v>
      </c>
      <c r="D179" s="16" t="s">
        <v>586</v>
      </c>
      <c r="E179" s="16"/>
    </row>
    <row r="180">
      <c r="A180" s="16" t="s">
        <v>44</v>
      </c>
      <c r="B180" s="72">
        <v>43769.0</v>
      </c>
      <c r="C180" s="26">
        <v>700.0</v>
      </c>
      <c r="D180" s="16" t="s">
        <v>586</v>
      </c>
      <c r="E180" s="16"/>
    </row>
    <row r="181">
      <c r="A181" s="16" t="s">
        <v>44</v>
      </c>
      <c r="B181" s="72">
        <v>43769.0</v>
      </c>
      <c r="C181" s="26">
        <v>710.0</v>
      </c>
      <c r="D181" s="16" t="s">
        <v>586</v>
      </c>
      <c r="E181" s="16"/>
    </row>
    <row r="182">
      <c r="A182" s="16" t="s">
        <v>44</v>
      </c>
      <c r="B182" s="72">
        <v>43769.0</v>
      </c>
      <c r="C182" s="26">
        <v>720.0</v>
      </c>
      <c r="D182" s="16" t="s">
        <v>586</v>
      </c>
      <c r="E182" s="16"/>
    </row>
    <row r="183">
      <c r="A183" s="16" t="s">
        <v>44</v>
      </c>
      <c r="B183" s="72">
        <v>43769.0</v>
      </c>
      <c r="C183" s="26">
        <v>730.0</v>
      </c>
      <c r="D183" s="16" t="s">
        <v>586</v>
      </c>
      <c r="E183" s="16"/>
    </row>
    <row r="184">
      <c r="A184" s="16" t="s">
        <v>44</v>
      </c>
      <c r="B184" s="72">
        <v>43769.0</v>
      </c>
      <c r="C184" s="26">
        <v>740.0</v>
      </c>
      <c r="D184" s="16" t="s">
        <v>586</v>
      </c>
      <c r="E184" s="16"/>
    </row>
    <row r="185">
      <c r="A185" s="16" t="s">
        <v>44</v>
      </c>
      <c r="B185" s="72">
        <v>43769.0</v>
      </c>
      <c r="C185" s="26">
        <v>750.0</v>
      </c>
      <c r="D185" s="16" t="s">
        <v>586</v>
      </c>
      <c r="E185" s="16"/>
    </row>
    <row r="186">
      <c r="A186" s="16" t="s">
        <v>44</v>
      </c>
      <c r="B186" s="72">
        <v>43769.0</v>
      </c>
      <c r="C186" s="26">
        <v>760.0</v>
      </c>
      <c r="D186" s="16" t="s">
        <v>586</v>
      </c>
      <c r="E186" s="16"/>
    </row>
    <row r="187">
      <c r="A187" s="16" t="s">
        <v>44</v>
      </c>
      <c r="B187" s="72">
        <v>43769.0</v>
      </c>
      <c r="C187" s="26">
        <v>770.0</v>
      </c>
      <c r="D187" s="16" t="s">
        <v>586</v>
      </c>
      <c r="E187" s="16"/>
    </row>
    <row r="188">
      <c r="A188" s="16" t="s">
        <v>44</v>
      </c>
      <c r="B188" s="72">
        <v>43769.0</v>
      </c>
      <c r="C188" s="26">
        <v>680.0</v>
      </c>
      <c r="D188" s="16" t="s">
        <v>587</v>
      </c>
      <c r="E188" s="16"/>
    </row>
    <row r="189">
      <c r="A189" s="16" t="s">
        <v>44</v>
      </c>
      <c r="B189" s="72">
        <v>43769.0</v>
      </c>
      <c r="C189" s="26">
        <v>690.0</v>
      </c>
      <c r="D189" s="16" t="s">
        <v>587</v>
      </c>
      <c r="E189" s="16"/>
    </row>
    <row r="190">
      <c r="A190" s="16" t="s">
        <v>44</v>
      </c>
      <c r="B190" s="72">
        <v>43769.0</v>
      </c>
      <c r="C190" s="26">
        <v>700.0</v>
      </c>
      <c r="D190" s="16" t="s">
        <v>587</v>
      </c>
      <c r="E190" s="16"/>
    </row>
    <row r="191">
      <c r="A191" s="16" t="s">
        <v>44</v>
      </c>
      <c r="B191" s="72">
        <v>43769.0</v>
      </c>
      <c r="C191" s="26">
        <v>710.0</v>
      </c>
      <c r="D191" s="16" t="s">
        <v>587</v>
      </c>
      <c r="E191" s="16"/>
    </row>
    <row r="192">
      <c r="A192" s="16" t="s">
        <v>44</v>
      </c>
      <c r="B192" s="72">
        <v>43769.0</v>
      </c>
      <c r="C192" s="26">
        <v>720.0</v>
      </c>
      <c r="D192" s="16" t="s">
        <v>587</v>
      </c>
      <c r="E192" s="16"/>
    </row>
    <row r="193">
      <c r="A193" s="16" t="s">
        <v>44</v>
      </c>
      <c r="B193" s="72">
        <v>43769.0</v>
      </c>
      <c r="C193" s="26">
        <v>730.0</v>
      </c>
      <c r="D193" s="16" t="s">
        <v>587</v>
      </c>
      <c r="E193" s="16"/>
    </row>
    <row r="194">
      <c r="A194" s="16" t="s">
        <v>44</v>
      </c>
      <c r="B194" s="72">
        <v>43797.0</v>
      </c>
      <c r="C194" s="26">
        <v>740.0</v>
      </c>
      <c r="D194" s="16" t="s">
        <v>586</v>
      </c>
      <c r="E194" s="16"/>
    </row>
    <row r="195">
      <c r="A195" s="16" t="s">
        <v>49</v>
      </c>
      <c r="B195" s="72">
        <v>43769.0</v>
      </c>
      <c r="C195" s="26">
        <v>3200.0</v>
      </c>
      <c r="D195" s="16" t="s">
        <v>586</v>
      </c>
      <c r="E195" s="16"/>
    </row>
    <row r="196">
      <c r="A196" s="16" t="s">
        <v>49</v>
      </c>
      <c r="B196" s="72">
        <v>43769.0</v>
      </c>
      <c r="C196" s="26">
        <v>3250.0</v>
      </c>
      <c r="D196" s="16" t="s">
        <v>586</v>
      </c>
      <c r="E196" s="16"/>
    </row>
    <row r="197">
      <c r="A197" s="16" t="s">
        <v>49</v>
      </c>
      <c r="B197" s="72">
        <v>43769.0</v>
      </c>
      <c r="C197" s="26">
        <v>3300.0</v>
      </c>
      <c r="D197" s="16" t="s">
        <v>586</v>
      </c>
      <c r="E197" s="16"/>
    </row>
    <row r="198">
      <c r="A198" s="16" t="s">
        <v>49</v>
      </c>
      <c r="B198" s="72">
        <v>43769.0</v>
      </c>
      <c r="C198" s="26">
        <v>3150.0</v>
      </c>
      <c r="D198" s="16" t="s">
        <v>587</v>
      </c>
      <c r="E198" s="16"/>
    </row>
    <row r="199">
      <c r="A199" s="16" t="s">
        <v>53</v>
      </c>
      <c r="B199" s="72">
        <v>43769.0</v>
      </c>
      <c r="C199" s="26">
        <v>4000.0</v>
      </c>
      <c r="D199" s="16" t="s">
        <v>586</v>
      </c>
      <c r="E199" s="16"/>
    </row>
    <row r="200">
      <c r="A200" s="16" t="s">
        <v>53</v>
      </c>
      <c r="B200" s="72">
        <v>43769.0</v>
      </c>
      <c r="C200" s="26">
        <v>4050.0</v>
      </c>
      <c r="D200" s="16" t="s">
        <v>586</v>
      </c>
      <c r="E200" s="16"/>
    </row>
    <row r="201">
      <c r="A201" s="16" t="s">
        <v>53</v>
      </c>
      <c r="B201" s="72">
        <v>43769.0</v>
      </c>
      <c r="C201" s="26">
        <v>4100.0</v>
      </c>
      <c r="D201" s="16" t="s">
        <v>586</v>
      </c>
      <c r="E201" s="16"/>
    </row>
    <row r="202">
      <c r="A202" s="16" t="s">
        <v>53</v>
      </c>
      <c r="B202" s="72">
        <v>43769.0</v>
      </c>
      <c r="C202" s="26">
        <v>4150.0</v>
      </c>
      <c r="D202" s="16" t="s">
        <v>586</v>
      </c>
      <c r="E202" s="16"/>
    </row>
    <row r="203">
      <c r="A203" s="16" t="s">
        <v>53</v>
      </c>
      <c r="B203" s="72">
        <v>43769.0</v>
      </c>
      <c r="C203" s="26">
        <v>4200.0</v>
      </c>
      <c r="D203" s="16" t="s">
        <v>586</v>
      </c>
      <c r="E203" s="16"/>
    </row>
    <row r="204">
      <c r="A204" s="16" t="s">
        <v>53</v>
      </c>
      <c r="B204" s="72">
        <v>43769.0</v>
      </c>
      <c r="C204" s="26">
        <v>4300.0</v>
      </c>
      <c r="D204" s="16" t="s">
        <v>586</v>
      </c>
      <c r="E204" s="16"/>
    </row>
    <row r="205">
      <c r="A205" s="16" t="s">
        <v>53</v>
      </c>
      <c r="B205" s="72">
        <v>43769.0</v>
      </c>
      <c r="C205" s="26">
        <v>3800.0</v>
      </c>
      <c r="D205" s="16" t="s">
        <v>587</v>
      </c>
      <c r="E205" s="16"/>
    </row>
    <row r="206">
      <c r="A206" s="16" t="s">
        <v>53</v>
      </c>
      <c r="B206" s="72">
        <v>43769.0</v>
      </c>
      <c r="C206" s="26">
        <v>3900.0</v>
      </c>
      <c r="D206" s="16" t="s">
        <v>587</v>
      </c>
      <c r="E206" s="16"/>
    </row>
    <row r="207">
      <c r="A207" s="16" t="s">
        <v>53</v>
      </c>
      <c r="B207" s="72">
        <v>43769.0</v>
      </c>
      <c r="C207" s="26">
        <v>3950.0</v>
      </c>
      <c r="D207" s="16" t="s">
        <v>587</v>
      </c>
      <c r="E207" s="16"/>
    </row>
    <row r="208">
      <c r="A208" s="16" t="s">
        <v>53</v>
      </c>
      <c r="B208" s="72">
        <v>43769.0</v>
      </c>
      <c r="C208" s="26">
        <v>4000.0</v>
      </c>
      <c r="D208" s="16" t="s">
        <v>587</v>
      </c>
      <c r="E208" s="16"/>
    </row>
    <row r="209">
      <c r="A209" s="16" t="s">
        <v>53</v>
      </c>
      <c r="B209" s="72">
        <v>43797.0</v>
      </c>
      <c r="C209" s="26">
        <v>3900.0</v>
      </c>
      <c r="D209" s="16" t="s">
        <v>587</v>
      </c>
      <c r="E209" s="16"/>
    </row>
    <row r="210">
      <c r="A210" s="16" t="s">
        <v>55</v>
      </c>
      <c r="B210" s="72">
        <v>43769.0</v>
      </c>
      <c r="C210" s="26">
        <v>90.0</v>
      </c>
      <c r="D210" s="16" t="s">
        <v>586</v>
      </c>
      <c r="E210" s="16"/>
    </row>
    <row r="211">
      <c r="A211" s="16" t="s">
        <v>55</v>
      </c>
      <c r="B211" s="72">
        <v>43769.0</v>
      </c>
      <c r="C211" s="26">
        <v>95.0</v>
      </c>
      <c r="D211" s="16" t="s">
        <v>586</v>
      </c>
      <c r="E211" s="16"/>
    </row>
    <row r="212">
      <c r="A212" s="16" t="s">
        <v>55</v>
      </c>
      <c r="B212" s="72">
        <v>43769.0</v>
      </c>
      <c r="C212" s="26">
        <v>100.0</v>
      </c>
      <c r="D212" s="16" t="s">
        <v>586</v>
      </c>
      <c r="E212" s="16"/>
    </row>
    <row r="213">
      <c r="A213" s="16" t="s">
        <v>55</v>
      </c>
      <c r="B213" s="72">
        <v>43769.0</v>
      </c>
      <c r="C213" s="26">
        <v>90.0</v>
      </c>
      <c r="D213" s="16" t="s">
        <v>587</v>
      </c>
      <c r="E213" s="16"/>
    </row>
    <row r="214">
      <c r="A214" s="16" t="s">
        <v>55</v>
      </c>
      <c r="B214" s="72">
        <v>43797.0</v>
      </c>
      <c r="C214" s="26">
        <v>100.0</v>
      </c>
      <c r="D214" s="16" t="s">
        <v>586</v>
      </c>
      <c r="E214" s="16"/>
    </row>
    <row r="215">
      <c r="A215" s="16" t="s">
        <v>58</v>
      </c>
      <c r="B215" s="72">
        <v>43769.0</v>
      </c>
      <c r="C215" s="26">
        <v>1800.0</v>
      </c>
      <c r="D215" s="16" t="s">
        <v>586</v>
      </c>
      <c r="E215" s="16"/>
    </row>
    <row r="216">
      <c r="A216" s="16" t="s">
        <v>63</v>
      </c>
      <c r="B216" s="72">
        <v>43769.0</v>
      </c>
      <c r="C216" s="26">
        <v>360.0</v>
      </c>
      <c r="D216" s="16" t="s">
        <v>586</v>
      </c>
      <c r="E216" s="16"/>
    </row>
    <row r="217">
      <c r="A217" s="16" t="s">
        <v>63</v>
      </c>
      <c r="B217" s="72">
        <v>43769.0</v>
      </c>
      <c r="C217" s="26">
        <v>365.0</v>
      </c>
      <c r="D217" s="16" t="s">
        <v>586</v>
      </c>
      <c r="E217" s="16"/>
    </row>
    <row r="218">
      <c r="A218" s="16" t="s">
        <v>63</v>
      </c>
      <c r="B218" s="72">
        <v>43769.0</v>
      </c>
      <c r="C218" s="26">
        <v>370.0</v>
      </c>
      <c r="D218" s="16" t="s">
        <v>586</v>
      </c>
      <c r="E218" s="16"/>
    </row>
    <row r="219">
      <c r="A219" s="16" t="s">
        <v>63</v>
      </c>
      <c r="B219" s="72">
        <v>43769.0</v>
      </c>
      <c r="C219" s="26">
        <v>375.0</v>
      </c>
      <c r="D219" s="16" t="s">
        <v>586</v>
      </c>
      <c r="E219" s="16"/>
    </row>
    <row r="220">
      <c r="A220" s="16" t="s">
        <v>63</v>
      </c>
      <c r="B220" s="72">
        <v>43769.0</v>
      </c>
      <c r="C220" s="26">
        <v>380.0</v>
      </c>
      <c r="D220" s="16" t="s">
        <v>586</v>
      </c>
      <c r="E220" s="16"/>
    </row>
    <row r="221">
      <c r="A221" s="16" t="s">
        <v>63</v>
      </c>
      <c r="B221" s="72">
        <v>43769.0</v>
      </c>
      <c r="C221" s="26">
        <v>385.0</v>
      </c>
      <c r="D221" s="16" t="s">
        <v>586</v>
      </c>
      <c r="E221" s="16"/>
    </row>
    <row r="222">
      <c r="A222" s="16" t="s">
        <v>63</v>
      </c>
      <c r="B222" s="72">
        <v>43769.0</v>
      </c>
      <c r="C222" s="26">
        <v>390.0</v>
      </c>
      <c r="D222" s="16" t="s">
        <v>586</v>
      </c>
      <c r="E222" s="16"/>
    </row>
    <row r="223">
      <c r="A223" s="16" t="s">
        <v>63</v>
      </c>
      <c r="B223" s="72">
        <v>43769.0</v>
      </c>
      <c r="C223" s="26">
        <v>400.0</v>
      </c>
      <c r="D223" s="16" t="s">
        <v>586</v>
      </c>
      <c r="E223" s="16"/>
    </row>
    <row r="224">
      <c r="A224" s="16" t="s">
        <v>63</v>
      </c>
      <c r="B224" s="72">
        <v>43769.0</v>
      </c>
      <c r="C224" s="26">
        <v>300.0</v>
      </c>
      <c r="D224" s="16" t="s">
        <v>587</v>
      </c>
      <c r="E224" s="16"/>
    </row>
    <row r="225">
      <c r="A225" s="16" t="s">
        <v>63</v>
      </c>
      <c r="B225" s="72">
        <v>43769.0</v>
      </c>
      <c r="C225" s="26">
        <v>320.0</v>
      </c>
      <c r="D225" s="16" t="s">
        <v>587</v>
      </c>
      <c r="E225" s="16"/>
    </row>
    <row r="226">
      <c r="A226" s="16" t="s">
        <v>63</v>
      </c>
      <c r="B226" s="72">
        <v>43769.0</v>
      </c>
      <c r="C226" s="26">
        <v>330.0</v>
      </c>
      <c r="D226" s="16" t="s">
        <v>587</v>
      </c>
      <c r="E226" s="16"/>
    </row>
    <row r="227">
      <c r="A227" s="16" t="s">
        <v>63</v>
      </c>
      <c r="B227" s="72">
        <v>43769.0</v>
      </c>
      <c r="C227" s="26">
        <v>340.0</v>
      </c>
      <c r="D227" s="16" t="s">
        <v>587</v>
      </c>
      <c r="E227" s="16"/>
    </row>
    <row r="228">
      <c r="A228" s="16" t="s">
        <v>63</v>
      </c>
      <c r="B228" s="72">
        <v>43769.0</v>
      </c>
      <c r="C228" s="26">
        <v>350.0</v>
      </c>
      <c r="D228" s="16" t="s">
        <v>587</v>
      </c>
      <c r="E228" s="16"/>
    </row>
    <row r="229">
      <c r="A229" s="16" t="s">
        <v>63</v>
      </c>
      <c r="B229" s="72">
        <v>43769.0</v>
      </c>
      <c r="C229" s="26">
        <v>355.0</v>
      </c>
      <c r="D229" s="16" t="s">
        <v>587</v>
      </c>
      <c r="E229" s="16"/>
    </row>
    <row r="230">
      <c r="A230" s="16" t="s">
        <v>63</v>
      </c>
      <c r="B230" s="72">
        <v>43769.0</v>
      </c>
      <c r="C230" s="26">
        <v>360.0</v>
      </c>
      <c r="D230" s="16" t="s">
        <v>587</v>
      </c>
      <c r="E230" s="16"/>
    </row>
    <row r="231">
      <c r="A231" s="16" t="s">
        <v>63</v>
      </c>
      <c r="B231" s="72">
        <v>43769.0</v>
      </c>
      <c r="C231" s="26">
        <v>365.0</v>
      </c>
      <c r="D231" s="16" t="s">
        <v>587</v>
      </c>
      <c r="E231" s="16"/>
    </row>
    <row r="232">
      <c r="A232" s="16" t="s">
        <v>63</v>
      </c>
      <c r="B232" s="72">
        <v>43769.0</v>
      </c>
      <c r="C232" s="26">
        <v>370.0</v>
      </c>
      <c r="D232" s="16" t="s">
        <v>587</v>
      </c>
      <c r="E232" s="16"/>
    </row>
    <row r="233">
      <c r="A233" s="16" t="s">
        <v>64</v>
      </c>
      <c r="B233" s="72">
        <v>43769.0</v>
      </c>
      <c r="C233" s="26">
        <v>55.0</v>
      </c>
      <c r="D233" s="16" t="s">
        <v>586</v>
      </c>
      <c r="E233" s="16"/>
    </row>
    <row r="234">
      <c r="A234" s="16" t="s">
        <v>64</v>
      </c>
      <c r="B234" s="72">
        <v>43769.0</v>
      </c>
      <c r="C234" s="26">
        <v>60.0</v>
      </c>
      <c r="D234" s="16" t="s">
        <v>586</v>
      </c>
      <c r="E234" s="16"/>
    </row>
    <row r="235">
      <c r="A235" s="16" t="s">
        <v>64</v>
      </c>
      <c r="B235" s="72">
        <v>43769.0</v>
      </c>
      <c r="C235" s="26">
        <v>50.0</v>
      </c>
      <c r="D235" s="16" t="s">
        <v>587</v>
      </c>
      <c r="E235" s="16"/>
    </row>
    <row r="236">
      <c r="A236" s="16" t="s">
        <v>68</v>
      </c>
      <c r="B236" s="72">
        <v>43769.0</v>
      </c>
      <c r="C236" s="26">
        <v>530.0</v>
      </c>
      <c r="D236" s="16" t="s">
        <v>586</v>
      </c>
      <c r="E236" s="16"/>
    </row>
    <row r="237">
      <c r="A237" s="16" t="s">
        <v>68</v>
      </c>
      <c r="B237" s="72">
        <v>43769.0</v>
      </c>
      <c r="C237" s="26">
        <v>540.0</v>
      </c>
      <c r="D237" s="16" t="s">
        <v>586</v>
      </c>
      <c r="E237" s="16"/>
    </row>
    <row r="238">
      <c r="A238" s="16" t="s">
        <v>68</v>
      </c>
      <c r="B238" s="72">
        <v>43769.0</v>
      </c>
      <c r="C238" s="26">
        <v>550.0</v>
      </c>
      <c r="D238" s="16" t="s">
        <v>586</v>
      </c>
      <c r="E238" s="16"/>
    </row>
    <row r="239">
      <c r="A239" s="16" t="s">
        <v>68</v>
      </c>
      <c r="B239" s="72">
        <v>43769.0</v>
      </c>
      <c r="C239" s="26">
        <v>560.0</v>
      </c>
      <c r="D239" s="16" t="s">
        <v>586</v>
      </c>
      <c r="E239" s="16"/>
    </row>
    <row r="240">
      <c r="A240" s="16" t="s">
        <v>68</v>
      </c>
      <c r="B240" s="72">
        <v>43769.0</v>
      </c>
      <c r="C240" s="26">
        <v>500.0</v>
      </c>
      <c r="D240" s="16" t="s">
        <v>587</v>
      </c>
      <c r="E240" s="16"/>
    </row>
    <row r="241">
      <c r="A241" s="16" t="s">
        <v>68</v>
      </c>
      <c r="B241" s="72">
        <v>43769.0</v>
      </c>
      <c r="C241" s="26">
        <v>520.0</v>
      </c>
      <c r="D241" s="16" t="s">
        <v>587</v>
      </c>
      <c r="E241" s="16"/>
    </row>
    <row r="242">
      <c r="A242" s="16" t="s">
        <v>72</v>
      </c>
      <c r="B242" s="72">
        <v>43769.0</v>
      </c>
      <c r="C242" s="26">
        <v>200.0</v>
      </c>
      <c r="D242" s="16" t="s">
        <v>586</v>
      </c>
      <c r="E242" s="16"/>
    </row>
    <row r="243">
      <c r="A243" s="16" t="s">
        <v>81</v>
      </c>
      <c r="B243" s="72">
        <v>43769.0</v>
      </c>
      <c r="C243" s="26">
        <v>210.0</v>
      </c>
      <c r="D243" s="16" t="s">
        <v>586</v>
      </c>
      <c r="E243" s="16"/>
    </row>
    <row r="244">
      <c r="A244" s="16" t="s">
        <v>89</v>
      </c>
      <c r="B244" s="72">
        <v>43769.0</v>
      </c>
      <c r="C244" s="26">
        <v>180.0</v>
      </c>
      <c r="D244" s="16" t="s">
        <v>586</v>
      </c>
      <c r="E244" s="16"/>
    </row>
    <row r="245">
      <c r="A245" s="16" t="s">
        <v>89</v>
      </c>
      <c r="B245" s="72">
        <v>43769.0</v>
      </c>
      <c r="C245" s="26">
        <v>185.0</v>
      </c>
      <c r="D245" s="16" t="s">
        <v>586</v>
      </c>
      <c r="E245" s="16"/>
    </row>
    <row r="246">
      <c r="A246" s="16" t="s">
        <v>89</v>
      </c>
      <c r="B246" s="72">
        <v>43769.0</v>
      </c>
      <c r="C246" s="26">
        <v>190.0</v>
      </c>
      <c r="D246" s="16" t="s">
        <v>586</v>
      </c>
      <c r="E246" s="16"/>
    </row>
    <row r="247">
      <c r="A247" s="16" t="s">
        <v>89</v>
      </c>
      <c r="B247" s="72">
        <v>43769.0</v>
      </c>
      <c r="C247" s="26">
        <v>175.0</v>
      </c>
      <c r="D247" s="16" t="s">
        <v>587</v>
      </c>
      <c r="E247" s="16"/>
    </row>
    <row r="248">
      <c r="A248" s="16" t="s">
        <v>89</v>
      </c>
      <c r="B248" s="72">
        <v>43769.0</v>
      </c>
      <c r="C248" s="26">
        <v>180.0</v>
      </c>
      <c r="D248" s="16" t="s">
        <v>587</v>
      </c>
      <c r="E248" s="16"/>
    </row>
    <row r="249">
      <c r="A249" s="16" t="s">
        <v>91</v>
      </c>
      <c r="B249" s="72">
        <v>43769.0</v>
      </c>
      <c r="C249" s="26">
        <v>22000.0</v>
      </c>
      <c r="D249" s="16" t="s">
        <v>586</v>
      </c>
      <c r="E249" s="16"/>
    </row>
    <row r="250">
      <c r="A250" s="16" t="s">
        <v>93</v>
      </c>
      <c r="B250" s="72">
        <v>43769.0</v>
      </c>
      <c r="C250" s="26">
        <v>660.0</v>
      </c>
      <c r="D250" s="16" t="s">
        <v>586</v>
      </c>
      <c r="E250" s="16"/>
    </row>
    <row r="251">
      <c r="A251" s="16" t="s">
        <v>93</v>
      </c>
      <c r="B251" s="72">
        <v>43769.0</v>
      </c>
      <c r="C251" s="26">
        <v>680.0</v>
      </c>
      <c r="D251" s="16" t="s">
        <v>586</v>
      </c>
      <c r="E251" s="16"/>
    </row>
    <row r="252">
      <c r="A252" s="16" t="s">
        <v>105</v>
      </c>
      <c r="B252" s="72">
        <v>43769.0</v>
      </c>
      <c r="C252" s="26">
        <v>680.0</v>
      </c>
      <c r="D252" s="16" t="s">
        <v>587</v>
      </c>
      <c r="E252" s="16"/>
    </row>
    <row r="253">
      <c r="A253" s="16" t="s">
        <v>105</v>
      </c>
      <c r="B253" s="72">
        <v>43769.0</v>
      </c>
      <c r="C253" s="26">
        <v>700.0</v>
      </c>
      <c r="D253" s="16" t="s">
        <v>587</v>
      </c>
      <c r="E253" s="16"/>
    </row>
    <row r="254">
      <c r="A254" s="16" t="s">
        <v>106</v>
      </c>
      <c r="B254" s="72">
        <v>43769.0</v>
      </c>
      <c r="C254" s="26">
        <v>670.0</v>
      </c>
      <c r="D254" s="16" t="s">
        <v>586</v>
      </c>
      <c r="E254" s="16"/>
    </row>
    <row r="255">
      <c r="A255" s="16" t="s">
        <v>107</v>
      </c>
      <c r="B255" s="72">
        <v>43769.0</v>
      </c>
      <c r="C255" s="26">
        <v>1140.0</v>
      </c>
      <c r="D255" s="16" t="s">
        <v>586</v>
      </c>
      <c r="E255" s="16"/>
    </row>
    <row r="256">
      <c r="A256" s="16" t="s">
        <v>107</v>
      </c>
      <c r="B256" s="72">
        <v>43769.0</v>
      </c>
      <c r="C256" s="26">
        <v>1160.0</v>
      </c>
      <c r="D256" s="16" t="s">
        <v>586</v>
      </c>
      <c r="E256" s="16"/>
    </row>
    <row r="257">
      <c r="A257" s="16" t="s">
        <v>108</v>
      </c>
      <c r="B257" s="72">
        <v>43769.0</v>
      </c>
      <c r="C257" s="26">
        <v>2100.0</v>
      </c>
      <c r="D257" s="16" t="s">
        <v>586</v>
      </c>
      <c r="E257" s="16"/>
    </row>
    <row r="258">
      <c r="A258" s="16" t="s">
        <v>108</v>
      </c>
      <c r="B258" s="72">
        <v>43769.0</v>
      </c>
      <c r="C258" s="26">
        <v>2120.0</v>
      </c>
      <c r="D258" s="16" t="s">
        <v>586</v>
      </c>
      <c r="E258" s="16"/>
    </row>
    <row r="259">
      <c r="A259" s="16" t="s">
        <v>108</v>
      </c>
      <c r="B259" s="72">
        <v>43769.0</v>
      </c>
      <c r="C259" s="26">
        <v>2140.0</v>
      </c>
      <c r="D259" s="16" t="s">
        <v>586</v>
      </c>
      <c r="E259" s="16"/>
    </row>
    <row r="260">
      <c r="A260" s="16" t="s">
        <v>108</v>
      </c>
      <c r="B260" s="72">
        <v>43769.0</v>
      </c>
      <c r="C260" s="26">
        <v>2160.0</v>
      </c>
      <c r="D260" s="16" t="s">
        <v>586</v>
      </c>
      <c r="E260" s="16"/>
    </row>
    <row r="261">
      <c r="A261" s="16" t="s">
        <v>108</v>
      </c>
      <c r="B261" s="72">
        <v>43769.0</v>
      </c>
      <c r="C261" s="26">
        <v>2200.0</v>
      </c>
      <c r="D261" s="16" t="s">
        <v>586</v>
      </c>
      <c r="E261" s="16"/>
    </row>
    <row r="262">
      <c r="A262" s="16" t="s">
        <v>108</v>
      </c>
      <c r="B262" s="72">
        <v>43769.0</v>
      </c>
      <c r="C262" s="26">
        <v>2060.0</v>
      </c>
      <c r="D262" s="16" t="s">
        <v>587</v>
      </c>
      <c r="E262" s="16"/>
    </row>
    <row r="263">
      <c r="A263" s="16" t="s">
        <v>108</v>
      </c>
      <c r="B263" s="72">
        <v>43769.0</v>
      </c>
      <c r="C263" s="26">
        <v>2080.0</v>
      </c>
      <c r="D263" s="16" t="s">
        <v>587</v>
      </c>
      <c r="E263" s="16"/>
    </row>
    <row r="264">
      <c r="A264" s="16" t="s">
        <v>108</v>
      </c>
      <c r="B264" s="72">
        <v>43769.0</v>
      </c>
      <c r="C264" s="26">
        <v>2100.0</v>
      </c>
      <c r="D264" s="16" t="s">
        <v>587</v>
      </c>
      <c r="E264" s="16"/>
    </row>
    <row r="265">
      <c r="A265" s="16" t="s">
        <v>108</v>
      </c>
      <c r="B265" s="72">
        <v>43797.0</v>
      </c>
      <c r="C265" s="26">
        <v>2200.0</v>
      </c>
      <c r="D265" s="16" t="s">
        <v>586</v>
      </c>
      <c r="E265" s="16"/>
    </row>
    <row r="266">
      <c r="A266" s="16" t="s">
        <v>109</v>
      </c>
      <c r="B266" s="72">
        <v>43769.0</v>
      </c>
      <c r="C266" s="26">
        <v>1230.0</v>
      </c>
      <c r="D266" s="16" t="s">
        <v>586</v>
      </c>
      <c r="E266" s="16"/>
    </row>
    <row r="267">
      <c r="A267" s="16" t="s">
        <v>109</v>
      </c>
      <c r="B267" s="72">
        <v>43769.0</v>
      </c>
      <c r="C267" s="26">
        <v>1240.0</v>
      </c>
      <c r="D267" s="16" t="s">
        <v>586</v>
      </c>
      <c r="E267" s="16"/>
    </row>
    <row r="268">
      <c r="A268" s="16" t="s">
        <v>109</v>
      </c>
      <c r="B268" s="72">
        <v>43769.0</v>
      </c>
      <c r="C268" s="26">
        <v>1250.0</v>
      </c>
      <c r="D268" s="16" t="s">
        <v>586</v>
      </c>
      <c r="E268" s="16"/>
    </row>
    <row r="269">
      <c r="A269" s="16" t="s">
        <v>109</v>
      </c>
      <c r="B269" s="72">
        <v>43769.0</v>
      </c>
      <c r="C269" s="26">
        <v>1260.0</v>
      </c>
      <c r="D269" s="16" t="s">
        <v>586</v>
      </c>
      <c r="E269" s="16"/>
    </row>
    <row r="270">
      <c r="A270" s="16" t="s">
        <v>109</v>
      </c>
      <c r="B270" s="72">
        <v>43769.0</v>
      </c>
      <c r="C270" s="26">
        <v>1270.0</v>
      </c>
      <c r="D270" s="16" t="s">
        <v>586</v>
      </c>
      <c r="E270" s="16"/>
    </row>
    <row r="271">
      <c r="A271" s="16" t="s">
        <v>109</v>
      </c>
      <c r="B271" s="72">
        <v>43769.0</v>
      </c>
      <c r="C271" s="26">
        <v>1280.0</v>
      </c>
      <c r="D271" s="16" t="s">
        <v>586</v>
      </c>
      <c r="E271" s="16"/>
    </row>
    <row r="272">
      <c r="A272" s="16" t="s">
        <v>109</v>
      </c>
      <c r="B272" s="72">
        <v>43769.0</v>
      </c>
      <c r="C272" s="26">
        <v>1300.0</v>
      </c>
      <c r="D272" s="16" t="s">
        <v>586</v>
      </c>
      <c r="E272" s="16"/>
    </row>
    <row r="273">
      <c r="A273" s="16" t="s">
        <v>109</v>
      </c>
      <c r="B273" s="72">
        <v>43769.0</v>
      </c>
      <c r="C273" s="26">
        <v>1200.0</v>
      </c>
      <c r="D273" s="16" t="s">
        <v>587</v>
      </c>
      <c r="E273" s="16"/>
    </row>
    <row r="274">
      <c r="A274" s="16" t="s">
        <v>109</v>
      </c>
      <c r="B274" s="72">
        <v>43769.0</v>
      </c>
      <c r="C274" s="26">
        <v>1220.0</v>
      </c>
      <c r="D274" s="16" t="s">
        <v>587</v>
      </c>
      <c r="E274" s="16"/>
    </row>
    <row r="275">
      <c r="A275" s="16" t="s">
        <v>109</v>
      </c>
      <c r="B275" s="72">
        <v>43769.0</v>
      </c>
      <c r="C275" s="26">
        <v>1230.0</v>
      </c>
      <c r="D275" s="16" t="s">
        <v>587</v>
      </c>
      <c r="E275" s="16"/>
    </row>
    <row r="276">
      <c r="A276" s="16" t="s">
        <v>109</v>
      </c>
      <c r="B276" s="72">
        <v>43769.0</v>
      </c>
      <c r="C276" s="26">
        <v>1240.0</v>
      </c>
      <c r="D276" s="16" t="s">
        <v>587</v>
      </c>
      <c r="E276" s="16"/>
    </row>
    <row r="277">
      <c r="A277" s="16" t="s">
        <v>109</v>
      </c>
      <c r="B277" s="72">
        <v>43769.0</v>
      </c>
      <c r="C277" s="26">
        <v>1250.0</v>
      </c>
      <c r="D277" s="16" t="s">
        <v>587</v>
      </c>
      <c r="E277" s="16"/>
    </row>
    <row r="278">
      <c r="A278" s="16" t="s">
        <v>109</v>
      </c>
      <c r="B278" s="72">
        <v>43797.0</v>
      </c>
      <c r="C278" s="26">
        <v>1260.0</v>
      </c>
      <c r="D278" s="16" t="s">
        <v>586</v>
      </c>
      <c r="E278" s="16"/>
    </row>
    <row r="279">
      <c r="A279" s="16" t="s">
        <v>109</v>
      </c>
      <c r="B279" s="72">
        <v>43797.0</v>
      </c>
      <c r="C279" s="26">
        <v>1300.0</v>
      </c>
      <c r="D279" s="16" t="s">
        <v>586</v>
      </c>
      <c r="E279" s="16"/>
    </row>
    <row r="280">
      <c r="A280" s="16" t="s">
        <v>110</v>
      </c>
      <c r="B280" s="72">
        <v>43769.0</v>
      </c>
      <c r="C280" s="26">
        <v>2700.0</v>
      </c>
      <c r="D280" s="16" t="s">
        <v>586</v>
      </c>
      <c r="E280" s="16"/>
    </row>
    <row r="281">
      <c r="A281" s="16" t="s">
        <v>110</v>
      </c>
      <c r="B281" s="72">
        <v>43769.0</v>
      </c>
      <c r="C281" s="26">
        <v>2750.0</v>
      </c>
      <c r="D281" s="16" t="s">
        <v>586</v>
      </c>
      <c r="E281" s="16"/>
    </row>
    <row r="282">
      <c r="A282" s="16" t="s">
        <v>110</v>
      </c>
      <c r="B282" s="72">
        <v>43769.0</v>
      </c>
      <c r="C282" s="26">
        <v>2800.0</v>
      </c>
      <c r="D282" s="16" t="s">
        <v>586</v>
      </c>
      <c r="E282" s="16"/>
    </row>
    <row r="283">
      <c r="A283" s="16" t="s">
        <v>110</v>
      </c>
      <c r="B283" s="72">
        <v>43769.0</v>
      </c>
      <c r="C283" s="26">
        <v>2850.0</v>
      </c>
      <c r="D283" s="16" t="s">
        <v>586</v>
      </c>
      <c r="E283" s="16"/>
    </row>
    <row r="284">
      <c r="A284" s="16" t="s">
        <v>110</v>
      </c>
      <c r="B284" s="72">
        <v>43769.0</v>
      </c>
      <c r="C284" s="26">
        <v>2600.0</v>
      </c>
      <c r="D284" s="16" t="s">
        <v>587</v>
      </c>
      <c r="E284" s="16"/>
    </row>
    <row r="285">
      <c r="A285" s="16" t="s">
        <v>110</v>
      </c>
      <c r="B285" s="72">
        <v>43769.0</v>
      </c>
      <c r="C285" s="26">
        <v>2650.0</v>
      </c>
      <c r="D285" s="16" t="s">
        <v>587</v>
      </c>
      <c r="E285" s="16"/>
    </row>
    <row r="286">
      <c r="A286" s="16" t="s">
        <v>113</v>
      </c>
      <c r="B286" s="72">
        <v>43769.0</v>
      </c>
      <c r="C286" s="26">
        <v>185.0</v>
      </c>
      <c r="D286" s="16" t="s">
        <v>586</v>
      </c>
      <c r="E286" s="16"/>
    </row>
    <row r="287">
      <c r="A287" s="16" t="s">
        <v>113</v>
      </c>
      <c r="B287" s="72">
        <v>43769.0</v>
      </c>
      <c r="C287" s="26">
        <v>190.0</v>
      </c>
      <c r="D287" s="16" t="s">
        <v>586</v>
      </c>
      <c r="E287" s="16"/>
    </row>
    <row r="288">
      <c r="A288" s="16" t="s">
        <v>113</v>
      </c>
      <c r="B288" s="72">
        <v>43769.0</v>
      </c>
      <c r="C288" s="26">
        <v>195.0</v>
      </c>
      <c r="D288" s="16" t="s">
        <v>586</v>
      </c>
      <c r="E288" s="16"/>
    </row>
    <row r="289">
      <c r="A289" s="16" t="s">
        <v>113</v>
      </c>
      <c r="B289" s="72">
        <v>43769.0</v>
      </c>
      <c r="C289" s="26">
        <v>200.0</v>
      </c>
      <c r="D289" s="16" t="s">
        <v>586</v>
      </c>
      <c r="E289" s="16"/>
    </row>
    <row r="290">
      <c r="A290" s="16" t="s">
        <v>115</v>
      </c>
      <c r="B290" s="72">
        <v>43769.0</v>
      </c>
      <c r="C290" s="26">
        <v>2140.0</v>
      </c>
      <c r="D290" s="16" t="s">
        <v>586</v>
      </c>
      <c r="E290" s="16"/>
    </row>
    <row r="291">
      <c r="A291" s="16" t="s">
        <v>115</v>
      </c>
      <c r="B291" s="72">
        <v>43769.0</v>
      </c>
      <c r="C291" s="26">
        <v>2160.0</v>
      </c>
      <c r="D291" s="16" t="s">
        <v>586</v>
      </c>
      <c r="E291" s="16"/>
    </row>
    <row r="292">
      <c r="A292" s="16" t="s">
        <v>115</v>
      </c>
      <c r="B292" s="72">
        <v>43769.0</v>
      </c>
      <c r="C292" s="26">
        <v>2100.0</v>
      </c>
      <c r="D292" s="16" t="s">
        <v>587</v>
      </c>
      <c r="E292" s="16"/>
    </row>
    <row r="293">
      <c r="A293" s="16" t="s">
        <v>115</v>
      </c>
      <c r="B293" s="72">
        <v>43769.0</v>
      </c>
      <c r="C293" s="26">
        <v>2120.0</v>
      </c>
      <c r="D293" s="16" t="s">
        <v>587</v>
      </c>
      <c r="E293" s="16"/>
    </row>
    <row r="294">
      <c r="A294" s="16" t="s">
        <v>115</v>
      </c>
      <c r="B294" s="72">
        <v>43769.0</v>
      </c>
      <c r="C294" s="26">
        <v>2140.0</v>
      </c>
      <c r="D294" s="16" t="s">
        <v>587</v>
      </c>
      <c r="E294" s="16"/>
    </row>
    <row r="295">
      <c r="A295" s="16" t="s">
        <v>116</v>
      </c>
      <c r="B295" s="72">
        <v>43769.0</v>
      </c>
      <c r="C295" s="26">
        <v>180.0</v>
      </c>
      <c r="D295" s="16" t="s">
        <v>586</v>
      </c>
      <c r="E295" s="16"/>
    </row>
    <row r="296">
      <c r="A296" s="16" t="s">
        <v>116</v>
      </c>
      <c r="B296" s="72">
        <v>43769.0</v>
      </c>
      <c r="C296" s="26">
        <v>190.0</v>
      </c>
      <c r="D296" s="16" t="s">
        <v>586</v>
      </c>
      <c r="E296" s="16"/>
    </row>
    <row r="297">
      <c r="A297" s="16" t="s">
        <v>116</v>
      </c>
      <c r="B297" s="72">
        <v>43769.0</v>
      </c>
      <c r="C297" s="26">
        <v>200.0</v>
      </c>
      <c r="D297" s="16" t="s">
        <v>586</v>
      </c>
      <c r="E297" s="16"/>
    </row>
    <row r="298">
      <c r="A298" s="16" t="s">
        <v>116</v>
      </c>
      <c r="B298" s="72">
        <v>43769.0</v>
      </c>
      <c r="C298" s="26">
        <v>210.0</v>
      </c>
      <c r="D298" s="16" t="s">
        <v>586</v>
      </c>
      <c r="E298" s="16"/>
    </row>
    <row r="299">
      <c r="A299" s="16" t="s">
        <v>116</v>
      </c>
      <c r="B299" s="72">
        <v>43769.0</v>
      </c>
      <c r="C299" s="26">
        <v>220.0</v>
      </c>
      <c r="D299" s="16" t="s">
        <v>586</v>
      </c>
      <c r="E299" s="16"/>
    </row>
    <row r="300">
      <c r="A300" s="16" t="s">
        <v>116</v>
      </c>
      <c r="B300" s="72">
        <v>43769.0</v>
      </c>
      <c r="C300" s="26">
        <v>230.0</v>
      </c>
      <c r="D300" s="16" t="s">
        <v>586</v>
      </c>
      <c r="E300" s="16"/>
    </row>
    <row r="301">
      <c r="A301" s="16" t="s">
        <v>116</v>
      </c>
      <c r="B301" s="72">
        <v>43769.0</v>
      </c>
      <c r="C301" s="26">
        <v>240.0</v>
      </c>
      <c r="D301" s="16" t="s">
        <v>586</v>
      </c>
      <c r="E301" s="16"/>
    </row>
    <row r="302">
      <c r="A302" s="16" t="s">
        <v>116</v>
      </c>
      <c r="B302" s="72">
        <v>43769.0</v>
      </c>
      <c r="C302" s="26">
        <v>250.0</v>
      </c>
      <c r="D302" s="16" t="s">
        <v>586</v>
      </c>
      <c r="E302" s="16"/>
    </row>
    <row r="303">
      <c r="A303" s="16" t="s">
        <v>116</v>
      </c>
      <c r="B303" s="72">
        <v>43769.0</v>
      </c>
      <c r="C303" s="26">
        <v>260.0</v>
      </c>
      <c r="D303" s="16" t="s">
        <v>586</v>
      </c>
      <c r="E303" s="16"/>
    </row>
    <row r="304">
      <c r="A304" s="16" t="s">
        <v>116</v>
      </c>
      <c r="B304" s="72">
        <v>43769.0</v>
      </c>
      <c r="C304" s="26">
        <v>280.0</v>
      </c>
      <c r="D304" s="16" t="s">
        <v>586</v>
      </c>
      <c r="E304" s="16"/>
    </row>
    <row r="305">
      <c r="A305" s="16" t="s">
        <v>116</v>
      </c>
      <c r="B305" s="72">
        <v>43769.0</v>
      </c>
      <c r="C305" s="26">
        <v>300.0</v>
      </c>
      <c r="D305" s="16" t="s">
        <v>586</v>
      </c>
      <c r="E305" s="16"/>
    </row>
    <row r="306">
      <c r="A306" s="16" t="s">
        <v>116</v>
      </c>
      <c r="B306" s="72">
        <v>43769.0</v>
      </c>
      <c r="C306" s="26">
        <v>160.0</v>
      </c>
      <c r="D306" s="16" t="s">
        <v>587</v>
      </c>
      <c r="E306" s="16"/>
    </row>
    <row r="307">
      <c r="A307" s="16" t="s">
        <v>116</v>
      </c>
      <c r="B307" s="72">
        <v>43769.0</v>
      </c>
      <c r="C307" s="26">
        <v>180.0</v>
      </c>
      <c r="D307" s="16" t="s">
        <v>587</v>
      </c>
      <c r="E307" s="16"/>
    </row>
    <row r="308">
      <c r="A308" s="16" t="s">
        <v>116</v>
      </c>
      <c r="B308" s="72">
        <v>43769.0</v>
      </c>
      <c r="C308" s="26">
        <v>190.0</v>
      </c>
      <c r="D308" s="16" t="s">
        <v>587</v>
      </c>
      <c r="E308" s="16"/>
    </row>
    <row r="309">
      <c r="A309" s="16" t="s">
        <v>116</v>
      </c>
      <c r="B309" s="72">
        <v>43769.0</v>
      </c>
      <c r="C309" s="26">
        <v>200.0</v>
      </c>
      <c r="D309" s="16" t="s">
        <v>587</v>
      </c>
      <c r="E309" s="16"/>
    </row>
    <row r="310">
      <c r="A310" s="16" t="s">
        <v>116</v>
      </c>
      <c r="B310" s="72">
        <v>43769.0</v>
      </c>
      <c r="C310" s="26">
        <v>210.0</v>
      </c>
      <c r="D310" s="16" t="s">
        <v>587</v>
      </c>
      <c r="E310" s="16"/>
    </row>
    <row r="311">
      <c r="A311" s="16" t="s">
        <v>116</v>
      </c>
      <c r="B311" s="72">
        <v>43769.0</v>
      </c>
      <c r="C311" s="26">
        <v>220.0</v>
      </c>
      <c r="D311" s="16" t="s">
        <v>587</v>
      </c>
      <c r="E311" s="16"/>
    </row>
    <row r="312">
      <c r="A312" s="16" t="s">
        <v>116</v>
      </c>
      <c r="B312" s="72">
        <v>43797.0</v>
      </c>
      <c r="C312" s="26">
        <v>200.0</v>
      </c>
      <c r="D312" s="16" t="s">
        <v>586</v>
      </c>
      <c r="E312" s="16"/>
    </row>
    <row r="313">
      <c r="A313" s="16" t="s">
        <v>116</v>
      </c>
      <c r="B313" s="72">
        <v>43797.0</v>
      </c>
      <c r="C313" s="26">
        <v>220.0</v>
      </c>
      <c r="D313" s="16" t="s">
        <v>586</v>
      </c>
      <c r="E313" s="16"/>
    </row>
    <row r="314">
      <c r="A314" s="16" t="s">
        <v>117</v>
      </c>
      <c r="B314" s="72">
        <v>43769.0</v>
      </c>
      <c r="C314" s="26">
        <v>460.0</v>
      </c>
      <c r="D314" s="16" t="s">
        <v>586</v>
      </c>
      <c r="E314" s="16"/>
    </row>
    <row r="315">
      <c r="A315" s="16" t="s">
        <v>117</v>
      </c>
      <c r="B315" s="72">
        <v>43769.0</v>
      </c>
      <c r="C315" s="26">
        <v>465.0</v>
      </c>
      <c r="D315" s="16" t="s">
        <v>586</v>
      </c>
      <c r="E315" s="16"/>
    </row>
    <row r="316">
      <c r="A316" s="16" t="s">
        <v>117</v>
      </c>
      <c r="B316" s="72">
        <v>43769.0</v>
      </c>
      <c r="C316" s="26">
        <v>470.0</v>
      </c>
      <c r="D316" s="16" t="s">
        <v>586</v>
      </c>
      <c r="E316" s="16"/>
    </row>
    <row r="317">
      <c r="A317" s="16" t="s">
        <v>117</v>
      </c>
      <c r="B317" s="72">
        <v>43769.0</v>
      </c>
      <c r="C317" s="26">
        <v>475.0</v>
      </c>
      <c r="D317" s="16" t="s">
        <v>586</v>
      </c>
      <c r="E317" s="16"/>
    </row>
    <row r="318">
      <c r="A318" s="16" t="s">
        <v>117</v>
      </c>
      <c r="B318" s="72">
        <v>43769.0</v>
      </c>
      <c r="C318" s="26">
        <v>480.0</v>
      </c>
      <c r="D318" s="16" t="s">
        <v>586</v>
      </c>
      <c r="E318" s="16"/>
    </row>
    <row r="319">
      <c r="A319" s="16" t="s">
        <v>117</v>
      </c>
      <c r="B319" s="72">
        <v>43769.0</v>
      </c>
      <c r="C319" s="26">
        <v>485.0</v>
      </c>
      <c r="D319" s="16" t="s">
        <v>586</v>
      </c>
      <c r="E319" s="16"/>
    </row>
    <row r="320">
      <c r="A320" s="16" t="s">
        <v>117</v>
      </c>
      <c r="B320" s="72">
        <v>43769.0</v>
      </c>
      <c r="C320" s="26">
        <v>490.0</v>
      </c>
      <c r="D320" s="16" t="s">
        <v>586</v>
      </c>
      <c r="E320" s="16"/>
    </row>
    <row r="321">
      <c r="A321" s="16" t="s">
        <v>117</v>
      </c>
      <c r="B321" s="72">
        <v>43769.0</v>
      </c>
      <c r="C321" s="26">
        <v>495.0</v>
      </c>
      <c r="D321" s="16" t="s">
        <v>586</v>
      </c>
      <c r="E321" s="16"/>
    </row>
    <row r="322">
      <c r="A322" s="16" t="s">
        <v>117</v>
      </c>
      <c r="B322" s="72">
        <v>43769.0</v>
      </c>
      <c r="C322" s="26">
        <v>500.0</v>
      </c>
      <c r="D322" s="16" t="s">
        <v>586</v>
      </c>
      <c r="E322" s="16"/>
    </row>
    <row r="323">
      <c r="A323" s="16" t="s">
        <v>117</v>
      </c>
      <c r="B323" s="72">
        <v>43769.0</v>
      </c>
      <c r="C323" s="26">
        <v>430.0</v>
      </c>
      <c r="D323" s="16" t="s">
        <v>587</v>
      </c>
      <c r="E323" s="16"/>
    </row>
    <row r="324">
      <c r="A324" s="16" t="s">
        <v>117</v>
      </c>
      <c r="B324" s="72">
        <v>43769.0</v>
      </c>
      <c r="C324" s="26">
        <v>440.0</v>
      </c>
      <c r="D324" s="16" t="s">
        <v>587</v>
      </c>
      <c r="E324" s="16"/>
    </row>
    <row r="325">
      <c r="A325" s="16" t="s">
        <v>117</v>
      </c>
      <c r="B325" s="72">
        <v>43769.0</v>
      </c>
      <c r="C325" s="26">
        <v>450.0</v>
      </c>
      <c r="D325" s="16" t="s">
        <v>587</v>
      </c>
      <c r="E325" s="16"/>
    </row>
    <row r="326">
      <c r="A326" s="16" t="s">
        <v>117</v>
      </c>
      <c r="B326" s="72">
        <v>43769.0</v>
      </c>
      <c r="C326" s="26">
        <v>455.0</v>
      </c>
      <c r="D326" s="16" t="s">
        <v>587</v>
      </c>
      <c r="E326" s="16"/>
    </row>
    <row r="327">
      <c r="A327" s="16" t="s">
        <v>117</v>
      </c>
      <c r="B327" s="72">
        <v>43769.0</v>
      </c>
      <c r="C327" s="26">
        <v>460.0</v>
      </c>
      <c r="D327" s="16" t="s">
        <v>587</v>
      </c>
      <c r="E327" s="16"/>
    </row>
    <row r="328">
      <c r="A328" s="16" t="s">
        <v>117</v>
      </c>
      <c r="B328" s="72">
        <v>43769.0</v>
      </c>
      <c r="C328" s="26">
        <v>465.0</v>
      </c>
      <c r="D328" s="16" t="s">
        <v>587</v>
      </c>
      <c r="E328" s="16"/>
    </row>
    <row r="329">
      <c r="A329" s="16" t="s">
        <v>117</v>
      </c>
      <c r="B329" s="72">
        <v>43769.0</v>
      </c>
      <c r="C329" s="26">
        <v>470.0</v>
      </c>
      <c r="D329" s="16" t="s">
        <v>587</v>
      </c>
      <c r="E329" s="16"/>
    </row>
    <row r="330">
      <c r="A330" s="16" t="s">
        <v>117</v>
      </c>
      <c r="B330" s="72">
        <v>43769.0</v>
      </c>
      <c r="C330" s="26">
        <v>475.0</v>
      </c>
      <c r="D330" s="16" t="s">
        <v>587</v>
      </c>
      <c r="E330" s="16"/>
    </row>
    <row r="331">
      <c r="A331" s="16" t="s">
        <v>117</v>
      </c>
      <c r="B331" s="72">
        <v>43769.0</v>
      </c>
      <c r="C331" s="26">
        <v>480.0</v>
      </c>
      <c r="D331" s="16" t="s">
        <v>587</v>
      </c>
      <c r="E331" s="16"/>
    </row>
    <row r="332">
      <c r="A332" s="16" t="s">
        <v>117</v>
      </c>
      <c r="B332" s="72">
        <v>43797.0</v>
      </c>
      <c r="C332" s="26">
        <v>470.0</v>
      </c>
      <c r="D332" s="16" t="s">
        <v>586</v>
      </c>
      <c r="E332" s="16"/>
    </row>
    <row r="333">
      <c r="A333" s="16" t="s">
        <v>117</v>
      </c>
      <c r="B333" s="72">
        <v>43797.0</v>
      </c>
      <c r="C333" s="26">
        <v>480.0</v>
      </c>
      <c r="D333" s="16" t="s">
        <v>586</v>
      </c>
      <c r="E333" s="16"/>
    </row>
    <row r="334">
      <c r="A334" s="16" t="s">
        <v>117</v>
      </c>
      <c r="B334" s="72">
        <v>43797.0</v>
      </c>
      <c r="C334" s="26">
        <v>490.0</v>
      </c>
      <c r="D334" s="16" t="s">
        <v>586</v>
      </c>
      <c r="E334" s="16"/>
    </row>
    <row r="335">
      <c r="A335" s="16" t="s">
        <v>117</v>
      </c>
      <c r="B335" s="72">
        <v>43797.0</v>
      </c>
      <c r="C335" s="26">
        <v>500.0</v>
      </c>
      <c r="D335" s="16" t="s">
        <v>586</v>
      </c>
      <c r="E335" s="16"/>
    </row>
    <row r="336">
      <c r="A336" s="16" t="s">
        <v>117</v>
      </c>
      <c r="B336" s="72">
        <v>43797.0</v>
      </c>
      <c r="C336" s="26">
        <v>440.0</v>
      </c>
      <c r="D336" s="16" t="s">
        <v>587</v>
      </c>
      <c r="E336" s="16"/>
    </row>
    <row r="337">
      <c r="A337" s="16" t="s">
        <v>117</v>
      </c>
      <c r="B337" s="72">
        <v>43797.0</v>
      </c>
      <c r="C337" s="26">
        <v>450.0</v>
      </c>
      <c r="D337" s="16" t="s">
        <v>587</v>
      </c>
      <c r="E337" s="16"/>
    </row>
    <row r="338">
      <c r="A338" s="16" t="s">
        <v>117</v>
      </c>
      <c r="B338" s="72">
        <v>43797.0</v>
      </c>
      <c r="C338" s="26">
        <v>460.0</v>
      </c>
      <c r="D338" s="16" t="s">
        <v>587</v>
      </c>
      <c r="E338" s="16"/>
    </row>
    <row r="339">
      <c r="A339" s="16" t="s">
        <v>117</v>
      </c>
      <c r="B339" s="72">
        <v>43797.0</v>
      </c>
      <c r="C339" s="26">
        <v>470.0</v>
      </c>
      <c r="D339" s="16" t="s">
        <v>587</v>
      </c>
      <c r="E339" s="16"/>
    </row>
    <row r="340">
      <c r="A340" s="16" t="s">
        <v>119</v>
      </c>
      <c r="B340" s="72">
        <v>43769.0</v>
      </c>
      <c r="C340" s="26">
        <v>500.0</v>
      </c>
      <c r="D340" s="16" t="s">
        <v>586</v>
      </c>
      <c r="E340" s="16"/>
    </row>
    <row r="341">
      <c r="A341" s="16" t="s">
        <v>120</v>
      </c>
      <c r="B341" s="72">
        <v>43769.0</v>
      </c>
      <c r="C341" s="26">
        <v>4.0</v>
      </c>
      <c r="D341" s="16" t="s">
        <v>586</v>
      </c>
      <c r="E341" s="16"/>
    </row>
    <row r="342">
      <c r="A342" s="16" t="s">
        <v>120</v>
      </c>
      <c r="B342" s="72">
        <v>43797.0</v>
      </c>
      <c r="C342" s="26">
        <v>4.0</v>
      </c>
      <c r="D342" s="16" t="s">
        <v>586</v>
      </c>
      <c r="E342" s="16"/>
    </row>
    <row r="343">
      <c r="A343" s="16" t="s">
        <v>120</v>
      </c>
      <c r="B343" s="72">
        <v>43797.0</v>
      </c>
      <c r="C343" s="26">
        <v>5.0</v>
      </c>
      <c r="D343" s="16" t="s">
        <v>586</v>
      </c>
      <c r="E343" s="16"/>
    </row>
    <row r="344">
      <c r="A344" s="16" t="s">
        <v>123</v>
      </c>
      <c r="B344" s="72">
        <v>43769.0</v>
      </c>
      <c r="C344" s="26">
        <v>1400.0</v>
      </c>
      <c r="D344" s="16" t="s">
        <v>586</v>
      </c>
      <c r="E344" s="16"/>
    </row>
    <row r="345">
      <c r="A345" s="16" t="s">
        <v>123</v>
      </c>
      <c r="B345" s="72">
        <v>43769.0</v>
      </c>
      <c r="C345" s="26">
        <v>1450.0</v>
      </c>
      <c r="D345" s="16" t="s">
        <v>586</v>
      </c>
      <c r="E345" s="16"/>
    </row>
    <row r="346">
      <c r="A346" s="16" t="s">
        <v>123</v>
      </c>
      <c r="B346" s="72">
        <v>43769.0</v>
      </c>
      <c r="C346" s="26">
        <v>1500.0</v>
      </c>
      <c r="D346" s="16" t="s">
        <v>586</v>
      </c>
      <c r="E346" s="16"/>
    </row>
    <row r="347">
      <c r="A347" s="16" t="s">
        <v>123</v>
      </c>
      <c r="B347" s="72">
        <v>43769.0</v>
      </c>
      <c r="C347" s="26">
        <v>1550.0</v>
      </c>
      <c r="D347" s="16" t="s">
        <v>586</v>
      </c>
      <c r="E347" s="16"/>
    </row>
    <row r="348">
      <c r="A348" s="16" t="s">
        <v>123</v>
      </c>
      <c r="B348" s="72">
        <v>43769.0</v>
      </c>
      <c r="C348" s="26">
        <v>1600.0</v>
      </c>
      <c r="D348" s="16" t="s">
        <v>586</v>
      </c>
      <c r="E348" s="16"/>
    </row>
    <row r="349">
      <c r="A349" s="16" t="s">
        <v>123</v>
      </c>
      <c r="B349" s="72">
        <v>43769.0</v>
      </c>
      <c r="C349" s="26">
        <v>1300.0</v>
      </c>
      <c r="D349" s="16" t="s">
        <v>587</v>
      </c>
      <c r="E349" s="16"/>
    </row>
    <row r="350">
      <c r="A350" s="16" t="s">
        <v>123</v>
      </c>
      <c r="B350" s="72">
        <v>43769.0</v>
      </c>
      <c r="C350" s="26">
        <v>1350.0</v>
      </c>
      <c r="D350" s="16" t="s">
        <v>587</v>
      </c>
      <c r="E350" s="16"/>
    </row>
    <row r="351">
      <c r="A351" s="16" t="s">
        <v>123</v>
      </c>
      <c r="B351" s="72">
        <v>43769.0</v>
      </c>
      <c r="C351" s="26">
        <v>1400.0</v>
      </c>
      <c r="D351" s="16" t="s">
        <v>587</v>
      </c>
      <c r="E351" s="16"/>
    </row>
    <row r="352">
      <c r="A352" s="16" t="s">
        <v>123</v>
      </c>
      <c r="B352" s="72">
        <v>43769.0</v>
      </c>
      <c r="C352" s="26">
        <v>1450.0</v>
      </c>
      <c r="D352" s="16" t="s">
        <v>587</v>
      </c>
      <c r="E352" s="16"/>
    </row>
    <row r="353">
      <c r="A353" s="16" t="s">
        <v>123</v>
      </c>
      <c r="B353" s="72">
        <v>43797.0</v>
      </c>
      <c r="C353" s="26">
        <v>1500.0</v>
      </c>
      <c r="D353" s="16" t="s">
        <v>586</v>
      </c>
      <c r="E353" s="16"/>
    </row>
    <row r="354">
      <c r="A354" s="16" t="s">
        <v>124</v>
      </c>
      <c r="B354" s="72">
        <v>43769.0</v>
      </c>
      <c r="C354" s="26">
        <v>1280.0</v>
      </c>
      <c r="D354" s="16" t="s">
        <v>586</v>
      </c>
      <c r="E354" s="16"/>
    </row>
    <row r="355">
      <c r="A355" s="16" t="s">
        <v>124</v>
      </c>
      <c r="B355" s="72">
        <v>43769.0</v>
      </c>
      <c r="C355" s="26">
        <v>1300.0</v>
      </c>
      <c r="D355" s="16" t="s">
        <v>586</v>
      </c>
      <c r="E355" s="16"/>
    </row>
    <row r="356">
      <c r="A356" s="16" t="s">
        <v>124</v>
      </c>
      <c r="B356" s="72">
        <v>43769.0</v>
      </c>
      <c r="C356" s="26">
        <v>1320.0</v>
      </c>
      <c r="D356" s="16" t="s">
        <v>586</v>
      </c>
      <c r="E356" s="16"/>
    </row>
    <row r="357">
      <c r="A357" s="16" t="s">
        <v>124</v>
      </c>
      <c r="B357" s="72">
        <v>43769.0</v>
      </c>
      <c r="C357" s="26">
        <v>1340.0</v>
      </c>
      <c r="D357" s="16" t="s">
        <v>586</v>
      </c>
      <c r="E357" s="16"/>
    </row>
    <row r="358">
      <c r="A358" s="16" t="s">
        <v>124</v>
      </c>
      <c r="B358" s="72">
        <v>43769.0</v>
      </c>
      <c r="C358" s="26">
        <v>1350.0</v>
      </c>
      <c r="D358" s="16" t="s">
        <v>586</v>
      </c>
      <c r="E358" s="16"/>
    </row>
    <row r="359">
      <c r="A359" s="16" t="s">
        <v>124</v>
      </c>
      <c r="B359" s="72">
        <v>43769.0</v>
      </c>
      <c r="C359" s="26">
        <v>1360.0</v>
      </c>
      <c r="D359" s="16" t="s">
        <v>586</v>
      </c>
      <c r="E359" s="16"/>
    </row>
    <row r="360">
      <c r="A360" s="16" t="s">
        <v>124</v>
      </c>
      <c r="B360" s="72">
        <v>43769.0</v>
      </c>
      <c r="C360" s="26">
        <v>1380.0</v>
      </c>
      <c r="D360" s="16" t="s">
        <v>586</v>
      </c>
      <c r="E360" s="16"/>
    </row>
    <row r="361">
      <c r="A361" s="16" t="s">
        <v>124</v>
      </c>
      <c r="B361" s="72">
        <v>43769.0</v>
      </c>
      <c r="C361" s="26">
        <v>1400.0</v>
      </c>
      <c r="D361" s="16" t="s">
        <v>586</v>
      </c>
      <c r="E361" s="16"/>
    </row>
    <row r="362">
      <c r="A362" s="16" t="s">
        <v>124</v>
      </c>
      <c r="B362" s="72">
        <v>43769.0</v>
      </c>
      <c r="C362" s="26">
        <v>1240.0</v>
      </c>
      <c r="D362" s="16" t="s">
        <v>587</v>
      </c>
      <c r="E362" s="16"/>
    </row>
    <row r="363">
      <c r="A363" s="16" t="s">
        <v>124</v>
      </c>
      <c r="B363" s="72">
        <v>43769.0</v>
      </c>
      <c r="C363" s="26">
        <v>1250.0</v>
      </c>
      <c r="D363" s="16" t="s">
        <v>587</v>
      </c>
      <c r="E363" s="16"/>
    </row>
    <row r="364">
      <c r="A364" s="16" t="s">
        <v>124</v>
      </c>
      <c r="B364" s="72">
        <v>43769.0</v>
      </c>
      <c r="C364" s="26">
        <v>1260.0</v>
      </c>
      <c r="D364" s="16" t="s">
        <v>587</v>
      </c>
      <c r="E364" s="16"/>
    </row>
    <row r="365">
      <c r="A365" s="16" t="s">
        <v>124</v>
      </c>
      <c r="B365" s="72">
        <v>43769.0</v>
      </c>
      <c r="C365" s="26">
        <v>1280.0</v>
      </c>
      <c r="D365" s="16" t="s">
        <v>587</v>
      </c>
      <c r="E365" s="16"/>
    </row>
    <row r="366">
      <c r="A366" s="16" t="s">
        <v>124</v>
      </c>
      <c r="B366" s="72">
        <v>43769.0</v>
      </c>
      <c r="C366" s="26">
        <v>1300.0</v>
      </c>
      <c r="D366" s="16" t="s">
        <v>587</v>
      </c>
      <c r="E366" s="16"/>
    </row>
    <row r="367">
      <c r="A367" s="16" t="s">
        <v>126</v>
      </c>
      <c r="B367" s="72">
        <v>43769.0</v>
      </c>
      <c r="C367" s="26">
        <v>640.0</v>
      </c>
      <c r="D367" s="16" t="s">
        <v>586</v>
      </c>
      <c r="E367" s="16"/>
    </row>
    <row r="368">
      <c r="A368" s="16" t="s">
        <v>126</v>
      </c>
      <c r="B368" s="72">
        <v>43769.0</v>
      </c>
      <c r="C368" s="26">
        <v>650.0</v>
      </c>
      <c r="D368" s="16" t="s">
        <v>586</v>
      </c>
      <c r="E368" s="16"/>
    </row>
    <row r="369">
      <c r="A369" s="16" t="s">
        <v>126</v>
      </c>
      <c r="B369" s="72">
        <v>43769.0</v>
      </c>
      <c r="C369" s="26">
        <v>660.0</v>
      </c>
      <c r="D369" s="16" t="s">
        <v>586</v>
      </c>
      <c r="E369" s="16"/>
    </row>
    <row r="370">
      <c r="A370" s="16" t="s">
        <v>126</v>
      </c>
      <c r="B370" s="72">
        <v>43769.0</v>
      </c>
      <c r="C370" s="26">
        <v>670.0</v>
      </c>
      <c r="D370" s="16" t="s">
        <v>586</v>
      </c>
      <c r="E370" s="16"/>
    </row>
    <row r="371">
      <c r="A371" s="16" t="s">
        <v>126</v>
      </c>
      <c r="B371" s="72">
        <v>43769.0</v>
      </c>
      <c r="C371" s="26">
        <v>680.0</v>
      </c>
      <c r="D371" s="16" t="s">
        <v>586</v>
      </c>
      <c r="E371" s="16"/>
    </row>
    <row r="372">
      <c r="A372" s="16" t="s">
        <v>126</v>
      </c>
      <c r="B372" s="72">
        <v>43769.0</v>
      </c>
      <c r="C372" s="26">
        <v>690.0</v>
      </c>
      <c r="D372" s="16" t="s">
        <v>586</v>
      </c>
      <c r="E372" s="16"/>
    </row>
    <row r="373">
      <c r="A373" s="16" t="s">
        <v>126</v>
      </c>
      <c r="B373" s="72">
        <v>43769.0</v>
      </c>
      <c r="C373" s="26">
        <v>700.0</v>
      </c>
      <c r="D373" s="16" t="s">
        <v>586</v>
      </c>
      <c r="E373" s="16"/>
    </row>
    <row r="374">
      <c r="A374" s="16" t="s">
        <v>126</v>
      </c>
      <c r="B374" s="72">
        <v>43769.0</v>
      </c>
      <c r="C374" s="26">
        <v>720.0</v>
      </c>
      <c r="D374" s="16" t="s">
        <v>586</v>
      </c>
      <c r="E374" s="16"/>
    </row>
    <row r="375">
      <c r="A375" s="16" t="s">
        <v>126</v>
      </c>
      <c r="B375" s="72">
        <v>43769.0</v>
      </c>
      <c r="C375" s="26">
        <v>800.0</v>
      </c>
      <c r="D375" s="16" t="s">
        <v>586</v>
      </c>
      <c r="E375" s="16"/>
    </row>
    <row r="376">
      <c r="A376" s="16" t="s">
        <v>126</v>
      </c>
      <c r="B376" s="72">
        <v>43769.0</v>
      </c>
      <c r="C376" s="26">
        <v>600.0</v>
      </c>
      <c r="D376" s="16" t="s">
        <v>587</v>
      </c>
      <c r="E376" s="16"/>
    </row>
    <row r="377">
      <c r="A377" s="16" t="s">
        <v>126</v>
      </c>
      <c r="B377" s="72">
        <v>43769.0</v>
      </c>
      <c r="C377" s="26">
        <v>620.0</v>
      </c>
      <c r="D377" s="16" t="s">
        <v>587</v>
      </c>
      <c r="E377" s="16"/>
    </row>
    <row r="378">
      <c r="A378" s="16" t="s">
        <v>126</v>
      </c>
      <c r="B378" s="72">
        <v>43769.0</v>
      </c>
      <c r="C378" s="26">
        <v>630.0</v>
      </c>
      <c r="D378" s="16" t="s">
        <v>587</v>
      </c>
      <c r="E378" s="16"/>
    </row>
    <row r="379">
      <c r="A379" s="16" t="s">
        <v>126</v>
      </c>
      <c r="B379" s="72">
        <v>43769.0</v>
      </c>
      <c r="C379" s="26">
        <v>640.0</v>
      </c>
      <c r="D379" s="16" t="s">
        <v>587</v>
      </c>
      <c r="E379" s="16"/>
    </row>
    <row r="380">
      <c r="A380" s="16" t="s">
        <v>126</v>
      </c>
      <c r="B380" s="72">
        <v>43769.0</v>
      </c>
      <c r="C380" s="26">
        <v>650.0</v>
      </c>
      <c r="D380" s="16" t="s">
        <v>587</v>
      </c>
      <c r="E380" s="16"/>
    </row>
    <row r="381">
      <c r="A381" s="16" t="s">
        <v>126</v>
      </c>
      <c r="B381" s="72">
        <v>43797.0</v>
      </c>
      <c r="C381" s="26">
        <v>700.0</v>
      </c>
      <c r="D381" s="16" t="s">
        <v>586</v>
      </c>
      <c r="E381" s="16"/>
    </row>
    <row r="382">
      <c r="A382" s="16" t="s">
        <v>128</v>
      </c>
      <c r="B382" s="72">
        <v>43769.0</v>
      </c>
      <c r="C382" s="26">
        <v>250.0</v>
      </c>
      <c r="D382" s="16" t="s">
        <v>586</v>
      </c>
      <c r="E382" s="16"/>
    </row>
    <row r="383">
      <c r="A383" s="16" t="s">
        <v>128</v>
      </c>
      <c r="B383" s="72">
        <v>43769.0</v>
      </c>
      <c r="C383" s="26">
        <v>252.5</v>
      </c>
      <c r="D383" s="16" t="s">
        <v>586</v>
      </c>
      <c r="E383" s="16"/>
    </row>
    <row r="384">
      <c r="A384" s="16" t="s">
        <v>128</v>
      </c>
      <c r="B384" s="72">
        <v>43769.0</v>
      </c>
      <c r="C384" s="26">
        <v>255.0</v>
      </c>
      <c r="D384" s="16" t="s">
        <v>586</v>
      </c>
      <c r="E384" s="16"/>
    </row>
    <row r="385">
      <c r="A385" s="16" t="s">
        <v>128</v>
      </c>
      <c r="B385" s="72">
        <v>43769.0</v>
      </c>
      <c r="C385" s="26">
        <v>260.0</v>
      </c>
      <c r="D385" s="16" t="s">
        <v>586</v>
      </c>
      <c r="E385" s="16"/>
    </row>
    <row r="386">
      <c r="A386" s="16" t="s">
        <v>128</v>
      </c>
      <c r="B386" s="72">
        <v>43769.0</v>
      </c>
      <c r="C386" s="26">
        <v>265.0</v>
      </c>
      <c r="D386" s="16" t="s">
        <v>586</v>
      </c>
      <c r="E386" s="16"/>
    </row>
    <row r="387">
      <c r="A387" s="16" t="s">
        <v>128</v>
      </c>
      <c r="B387" s="72">
        <v>43769.0</v>
      </c>
      <c r="C387" s="26">
        <v>270.0</v>
      </c>
      <c r="D387" s="16" t="s">
        <v>586</v>
      </c>
      <c r="E387" s="16"/>
    </row>
    <row r="388">
      <c r="A388" s="16" t="s">
        <v>128</v>
      </c>
      <c r="B388" s="72">
        <v>43769.0</v>
      </c>
      <c r="C388" s="26">
        <v>250.0</v>
      </c>
      <c r="D388" s="16" t="s">
        <v>587</v>
      </c>
      <c r="E388" s="16"/>
    </row>
    <row r="389">
      <c r="A389" s="16" t="s">
        <v>128</v>
      </c>
      <c r="B389" s="72">
        <v>43769.0</v>
      </c>
      <c r="C389" s="26">
        <v>252.5</v>
      </c>
      <c r="D389" s="16" t="s">
        <v>587</v>
      </c>
      <c r="E389" s="16"/>
    </row>
    <row r="390">
      <c r="A390" s="16" t="s">
        <v>128</v>
      </c>
      <c r="B390" s="72">
        <v>43797.0</v>
      </c>
      <c r="C390" s="26">
        <v>260.0</v>
      </c>
      <c r="D390" s="16" t="s">
        <v>586</v>
      </c>
      <c r="E390" s="16"/>
    </row>
    <row r="391">
      <c r="A391" s="16" t="s">
        <v>129</v>
      </c>
      <c r="B391" s="72">
        <v>43769.0</v>
      </c>
      <c r="C391" s="26">
        <v>105.0</v>
      </c>
      <c r="D391" s="16" t="s">
        <v>586</v>
      </c>
      <c r="E391" s="16"/>
    </row>
    <row r="392">
      <c r="A392" s="16" t="s">
        <v>129</v>
      </c>
      <c r="B392" s="72">
        <v>43769.0</v>
      </c>
      <c r="C392" s="26">
        <v>110.0</v>
      </c>
      <c r="D392" s="16" t="s">
        <v>586</v>
      </c>
      <c r="E392" s="16"/>
    </row>
    <row r="393">
      <c r="A393" s="16" t="s">
        <v>129</v>
      </c>
      <c r="B393" s="72">
        <v>43769.0</v>
      </c>
      <c r="C393" s="26">
        <v>115.0</v>
      </c>
      <c r="D393" s="16" t="s">
        <v>586</v>
      </c>
      <c r="E393" s="16"/>
    </row>
    <row r="394">
      <c r="A394" s="16" t="s">
        <v>129</v>
      </c>
      <c r="B394" s="72">
        <v>43769.0</v>
      </c>
      <c r="C394" s="26">
        <v>120.0</v>
      </c>
      <c r="D394" s="16" t="s">
        <v>586</v>
      </c>
      <c r="E394" s="16"/>
    </row>
    <row r="395">
      <c r="A395" s="16" t="s">
        <v>129</v>
      </c>
      <c r="B395" s="72">
        <v>43769.0</v>
      </c>
      <c r="C395" s="26">
        <v>105.0</v>
      </c>
      <c r="D395" s="16" t="s">
        <v>587</v>
      </c>
      <c r="E395" s="16"/>
    </row>
    <row r="396">
      <c r="A396" s="16" t="s">
        <v>129</v>
      </c>
      <c r="B396" s="72">
        <v>43769.0</v>
      </c>
      <c r="C396" s="26">
        <v>110.0</v>
      </c>
      <c r="D396" s="16" t="s">
        <v>587</v>
      </c>
      <c r="E396" s="16"/>
    </row>
    <row r="397">
      <c r="A397" s="16" t="s">
        <v>129</v>
      </c>
      <c r="B397" s="72">
        <v>43769.0</v>
      </c>
      <c r="C397" s="26">
        <v>120.0</v>
      </c>
      <c r="D397" s="16" t="s">
        <v>587</v>
      </c>
      <c r="E397" s="16"/>
    </row>
    <row r="398">
      <c r="A398" s="16" t="s">
        <v>130</v>
      </c>
      <c r="B398" s="72">
        <v>43769.0</v>
      </c>
      <c r="C398" s="26">
        <v>225.0</v>
      </c>
      <c r="D398" s="16" t="s">
        <v>586</v>
      </c>
      <c r="E398" s="16"/>
    </row>
    <row r="399">
      <c r="A399" s="16" t="s">
        <v>130</v>
      </c>
      <c r="B399" s="72">
        <v>43769.0</v>
      </c>
      <c r="C399" s="26">
        <v>230.0</v>
      </c>
      <c r="D399" s="16" t="s">
        <v>586</v>
      </c>
      <c r="E399" s="16"/>
    </row>
    <row r="400">
      <c r="A400" s="16" t="s">
        <v>130</v>
      </c>
      <c r="B400" s="72">
        <v>43769.0</v>
      </c>
      <c r="C400" s="26">
        <v>235.0</v>
      </c>
      <c r="D400" s="16" t="s">
        <v>586</v>
      </c>
      <c r="E400" s="16"/>
    </row>
    <row r="401">
      <c r="A401" s="16" t="s">
        <v>130</v>
      </c>
      <c r="B401" s="72">
        <v>43769.0</v>
      </c>
      <c r="C401" s="26">
        <v>240.0</v>
      </c>
      <c r="D401" s="16" t="s">
        <v>586</v>
      </c>
      <c r="E401" s="16"/>
    </row>
    <row r="402">
      <c r="A402" s="16" t="s">
        <v>131</v>
      </c>
      <c r="B402" s="72">
        <v>43769.0</v>
      </c>
      <c r="C402" s="26">
        <v>1560.0</v>
      </c>
      <c r="D402" s="16" t="s">
        <v>586</v>
      </c>
      <c r="E402" s="16"/>
    </row>
    <row r="403">
      <c r="A403" s="16" t="s">
        <v>131</v>
      </c>
      <c r="B403" s="72">
        <v>43769.0</v>
      </c>
      <c r="C403" s="26">
        <v>1600.0</v>
      </c>
      <c r="D403" s="16" t="s">
        <v>586</v>
      </c>
      <c r="E403" s="16"/>
    </row>
    <row r="404">
      <c r="A404" s="16" t="s">
        <v>131</v>
      </c>
      <c r="B404" s="72">
        <v>43769.0</v>
      </c>
      <c r="C404" s="26">
        <v>1620.0</v>
      </c>
      <c r="D404" s="16" t="s">
        <v>586</v>
      </c>
      <c r="E404" s="16"/>
    </row>
    <row r="405">
      <c r="A405" s="16" t="s">
        <v>133</v>
      </c>
      <c r="B405" s="72">
        <v>43769.0</v>
      </c>
      <c r="C405" s="26">
        <v>1580.0</v>
      </c>
      <c r="D405" s="16" t="s">
        <v>586</v>
      </c>
      <c r="E405" s="16"/>
    </row>
    <row r="406">
      <c r="A406" s="16" t="s">
        <v>133</v>
      </c>
      <c r="B406" s="72">
        <v>43769.0</v>
      </c>
      <c r="C406" s="26">
        <v>1600.0</v>
      </c>
      <c r="D406" s="16" t="s">
        <v>586</v>
      </c>
      <c r="E406" s="16"/>
    </row>
    <row r="407">
      <c r="A407" s="16" t="s">
        <v>133</v>
      </c>
      <c r="B407" s="72">
        <v>43769.0</v>
      </c>
      <c r="C407" s="26">
        <v>1620.0</v>
      </c>
      <c r="D407" s="16" t="s">
        <v>586</v>
      </c>
      <c r="E407" s="16"/>
    </row>
    <row r="408">
      <c r="A408" s="16" t="s">
        <v>133</v>
      </c>
      <c r="B408" s="72">
        <v>43769.0</v>
      </c>
      <c r="C408" s="26">
        <v>1640.0</v>
      </c>
      <c r="D408" s="16" t="s">
        <v>586</v>
      </c>
      <c r="E408" s="16"/>
    </row>
    <row r="409">
      <c r="A409" s="16" t="s">
        <v>133</v>
      </c>
      <c r="B409" s="72">
        <v>43769.0</v>
      </c>
      <c r="C409" s="26">
        <v>1700.0</v>
      </c>
      <c r="D409" s="16" t="s">
        <v>586</v>
      </c>
      <c r="E409" s="16"/>
    </row>
    <row r="410">
      <c r="A410" s="16" t="s">
        <v>133</v>
      </c>
      <c r="B410" s="72">
        <v>43769.0</v>
      </c>
      <c r="C410" s="26">
        <v>1540.0</v>
      </c>
      <c r="D410" s="16" t="s">
        <v>587</v>
      </c>
      <c r="E410" s="16"/>
    </row>
    <row r="411">
      <c r="A411" s="16" t="s">
        <v>133</v>
      </c>
      <c r="B411" s="72">
        <v>43769.0</v>
      </c>
      <c r="C411" s="26">
        <v>1560.0</v>
      </c>
      <c r="D411" s="16" t="s">
        <v>587</v>
      </c>
      <c r="E411" s="16"/>
    </row>
    <row r="412">
      <c r="A412" s="16" t="s">
        <v>133</v>
      </c>
      <c r="B412" s="72">
        <v>43769.0</v>
      </c>
      <c r="C412" s="26">
        <v>1580.0</v>
      </c>
      <c r="D412" s="16" t="s">
        <v>587</v>
      </c>
      <c r="E412" s="16"/>
    </row>
    <row r="413">
      <c r="A413" s="16" t="s">
        <v>133</v>
      </c>
      <c r="B413" s="72">
        <v>43797.0</v>
      </c>
      <c r="C413" s="26">
        <v>1600.0</v>
      </c>
      <c r="D413" s="16" t="s">
        <v>586</v>
      </c>
      <c r="E413" s="16"/>
    </row>
    <row r="414">
      <c r="A414" s="16" t="s">
        <v>134</v>
      </c>
      <c r="B414" s="72">
        <v>43769.0</v>
      </c>
      <c r="C414" s="26">
        <v>90.0</v>
      </c>
      <c r="D414" s="16" t="s">
        <v>586</v>
      </c>
      <c r="E414" s="16"/>
    </row>
    <row r="415">
      <c r="A415" s="16" t="s">
        <v>134</v>
      </c>
      <c r="B415" s="72">
        <v>43769.0</v>
      </c>
      <c r="C415" s="26">
        <v>95.0</v>
      </c>
      <c r="D415" s="16" t="s">
        <v>586</v>
      </c>
      <c r="E415" s="16"/>
    </row>
    <row r="416">
      <c r="A416" s="16" t="s">
        <v>134</v>
      </c>
      <c r="B416" s="72">
        <v>43769.0</v>
      </c>
      <c r="C416" s="26">
        <v>100.0</v>
      </c>
      <c r="D416" s="16" t="s">
        <v>586</v>
      </c>
      <c r="E416" s="16"/>
    </row>
    <row r="417">
      <c r="A417" s="16" t="s">
        <v>135</v>
      </c>
      <c r="B417" s="72">
        <v>43769.0</v>
      </c>
      <c r="C417" s="26">
        <v>380.0</v>
      </c>
      <c r="D417" s="16" t="s">
        <v>586</v>
      </c>
      <c r="E417" s="16"/>
    </row>
    <row r="418">
      <c r="A418" s="16" t="s">
        <v>135</v>
      </c>
      <c r="B418" s="72">
        <v>43769.0</v>
      </c>
      <c r="C418" s="26">
        <v>390.0</v>
      </c>
      <c r="D418" s="16" t="s">
        <v>586</v>
      </c>
      <c r="E418" s="16"/>
    </row>
    <row r="419">
      <c r="A419" s="16" t="s">
        <v>135</v>
      </c>
      <c r="B419" s="72">
        <v>43769.0</v>
      </c>
      <c r="C419" s="26">
        <v>400.0</v>
      </c>
      <c r="D419" s="16" t="s">
        <v>586</v>
      </c>
      <c r="E419" s="16"/>
    </row>
    <row r="420">
      <c r="A420" s="16" t="s">
        <v>135</v>
      </c>
      <c r="B420" s="72">
        <v>43769.0</v>
      </c>
      <c r="C420" s="26">
        <v>410.0</v>
      </c>
      <c r="D420" s="16" t="s">
        <v>586</v>
      </c>
      <c r="E420" s="16"/>
    </row>
    <row r="421">
      <c r="A421" s="16" t="s">
        <v>136</v>
      </c>
      <c r="B421" s="72">
        <v>43769.0</v>
      </c>
      <c r="C421" s="26">
        <v>1440.0</v>
      </c>
      <c r="D421" s="16" t="s">
        <v>586</v>
      </c>
      <c r="E421" s="16"/>
    </row>
    <row r="422">
      <c r="A422" s="16" t="s">
        <v>136</v>
      </c>
      <c r="B422" s="72">
        <v>43769.0</v>
      </c>
      <c r="C422" s="26">
        <v>1460.0</v>
      </c>
      <c r="D422" s="16" t="s">
        <v>586</v>
      </c>
      <c r="E422" s="16"/>
    </row>
    <row r="423">
      <c r="A423" s="16" t="s">
        <v>136</v>
      </c>
      <c r="B423" s="72">
        <v>43769.0</v>
      </c>
      <c r="C423" s="26">
        <v>1480.0</v>
      </c>
      <c r="D423" s="16" t="s">
        <v>586</v>
      </c>
      <c r="E423" s="16"/>
    </row>
    <row r="424">
      <c r="A424" s="16" t="s">
        <v>136</v>
      </c>
      <c r="B424" s="72">
        <v>43769.0</v>
      </c>
      <c r="C424" s="26">
        <v>1500.0</v>
      </c>
      <c r="D424" s="16" t="s">
        <v>586</v>
      </c>
      <c r="E424" s="16"/>
    </row>
    <row r="425">
      <c r="A425" s="16" t="s">
        <v>136</v>
      </c>
      <c r="B425" s="72">
        <v>43769.0</v>
      </c>
      <c r="C425" s="26">
        <v>1520.0</v>
      </c>
      <c r="D425" s="16" t="s">
        <v>586</v>
      </c>
      <c r="E425" s="16"/>
    </row>
    <row r="426">
      <c r="A426" s="16" t="s">
        <v>136</v>
      </c>
      <c r="B426" s="72">
        <v>43769.0</v>
      </c>
      <c r="C426" s="26">
        <v>1400.0</v>
      </c>
      <c r="D426" s="16" t="s">
        <v>587</v>
      </c>
      <c r="E426" s="16"/>
    </row>
    <row r="427">
      <c r="A427" s="16" t="s">
        <v>136</v>
      </c>
      <c r="B427" s="72">
        <v>43769.0</v>
      </c>
      <c r="C427" s="26">
        <v>1420.0</v>
      </c>
      <c r="D427" s="16" t="s">
        <v>587</v>
      </c>
      <c r="E427" s="16"/>
    </row>
    <row r="428">
      <c r="A428" s="16" t="s">
        <v>136</v>
      </c>
      <c r="B428" s="72">
        <v>43769.0</v>
      </c>
      <c r="C428" s="26">
        <v>1440.0</v>
      </c>
      <c r="D428" s="16" t="s">
        <v>587</v>
      </c>
      <c r="E428" s="16"/>
    </row>
    <row r="429">
      <c r="A429" s="16" t="s">
        <v>136</v>
      </c>
      <c r="B429" s="72">
        <v>43769.0</v>
      </c>
      <c r="C429" s="26">
        <v>1460.0</v>
      </c>
      <c r="D429" s="16" t="s">
        <v>587</v>
      </c>
      <c r="E429" s="16"/>
    </row>
    <row r="430">
      <c r="A430" s="16" t="s">
        <v>136</v>
      </c>
      <c r="B430" s="72">
        <v>43797.0</v>
      </c>
      <c r="C430" s="26">
        <v>1500.0</v>
      </c>
      <c r="D430" s="16" t="s">
        <v>586</v>
      </c>
      <c r="E430" s="16"/>
    </row>
    <row r="431">
      <c r="A431" s="16" t="s">
        <v>138</v>
      </c>
      <c r="B431" s="72">
        <v>43769.0</v>
      </c>
      <c r="C431" s="26">
        <v>600.0</v>
      </c>
      <c r="D431" s="16" t="s">
        <v>586</v>
      </c>
      <c r="E431" s="16"/>
    </row>
    <row r="432">
      <c r="A432" s="16" t="s">
        <v>138</v>
      </c>
      <c r="B432" s="72">
        <v>43769.0</v>
      </c>
      <c r="C432" s="26">
        <v>610.0</v>
      </c>
      <c r="D432" s="16" t="s">
        <v>586</v>
      </c>
      <c r="E432" s="16"/>
    </row>
    <row r="433">
      <c r="A433" s="16" t="s">
        <v>138</v>
      </c>
      <c r="B433" s="72">
        <v>43769.0</v>
      </c>
      <c r="C433" s="26">
        <v>620.0</v>
      </c>
      <c r="D433" s="16" t="s">
        <v>586</v>
      </c>
      <c r="E433" s="16"/>
    </row>
    <row r="434">
      <c r="A434" s="16" t="s">
        <v>142</v>
      </c>
      <c r="B434" s="72">
        <v>43769.0</v>
      </c>
      <c r="C434" s="26">
        <v>7400.0</v>
      </c>
      <c r="D434" s="16" t="s">
        <v>586</v>
      </c>
      <c r="E434" s="16"/>
    </row>
    <row r="435">
      <c r="A435" s="16" t="s">
        <v>142</v>
      </c>
      <c r="B435" s="72">
        <v>43769.0</v>
      </c>
      <c r="C435" s="26">
        <v>7500.0</v>
      </c>
      <c r="D435" s="16" t="s">
        <v>586</v>
      </c>
      <c r="E435" s="16"/>
    </row>
    <row r="436">
      <c r="A436" s="16" t="s">
        <v>142</v>
      </c>
      <c r="B436" s="72">
        <v>43769.0</v>
      </c>
      <c r="C436" s="26">
        <v>7600.0</v>
      </c>
      <c r="D436" s="16" t="s">
        <v>586</v>
      </c>
      <c r="E436" s="16"/>
    </row>
    <row r="437">
      <c r="A437" s="16" t="s">
        <v>142</v>
      </c>
      <c r="B437" s="72">
        <v>43769.0</v>
      </c>
      <c r="C437" s="26">
        <v>7700.0</v>
      </c>
      <c r="D437" s="16" t="s">
        <v>586</v>
      </c>
      <c r="E437" s="16"/>
    </row>
    <row r="438">
      <c r="A438" s="16" t="s">
        <v>142</v>
      </c>
      <c r="B438" s="72">
        <v>43769.0</v>
      </c>
      <c r="C438" s="26">
        <v>7800.0</v>
      </c>
      <c r="D438" s="16" t="s">
        <v>586</v>
      </c>
      <c r="E438" s="16"/>
    </row>
    <row r="439">
      <c r="A439" s="16" t="s">
        <v>142</v>
      </c>
      <c r="B439" s="72">
        <v>43769.0</v>
      </c>
      <c r="C439" s="26">
        <v>7900.0</v>
      </c>
      <c r="D439" s="16" t="s">
        <v>586</v>
      </c>
      <c r="E439" s="16"/>
    </row>
    <row r="440">
      <c r="A440" s="16" t="s">
        <v>142</v>
      </c>
      <c r="B440" s="72">
        <v>43769.0</v>
      </c>
      <c r="C440" s="26">
        <v>8000.0</v>
      </c>
      <c r="D440" s="16" t="s">
        <v>586</v>
      </c>
      <c r="E440" s="16"/>
    </row>
    <row r="441">
      <c r="A441" s="16" t="s">
        <v>142</v>
      </c>
      <c r="B441" s="72">
        <v>43769.0</v>
      </c>
      <c r="C441" s="26">
        <v>6800.0</v>
      </c>
      <c r="D441" s="16" t="s">
        <v>587</v>
      </c>
      <c r="E441" s="16"/>
    </row>
    <row r="442">
      <c r="A442" s="16" t="s">
        <v>142</v>
      </c>
      <c r="B442" s="72">
        <v>43769.0</v>
      </c>
      <c r="C442" s="26">
        <v>7000.0</v>
      </c>
      <c r="D442" s="16" t="s">
        <v>587</v>
      </c>
      <c r="E442" s="16"/>
    </row>
    <row r="443">
      <c r="A443" s="16" t="s">
        <v>142</v>
      </c>
      <c r="B443" s="72">
        <v>43769.0</v>
      </c>
      <c r="C443" s="26">
        <v>7100.0</v>
      </c>
      <c r="D443" s="16" t="s">
        <v>587</v>
      </c>
      <c r="E443" s="16"/>
    </row>
    <row r="444">
      <c r="A444" s="16" t="s">
        <v>142</v>
      </c>
      <c r="B444" s="72">
        <v>43769.0</v>
      </c>
      <c r="C444" s="26">
        <v>7200.0</v>
      </c>
      <c r="D444" s="16" t="s">
        <v>587</v>
      </c>
      <c r="E444" s="16"/>
    </row>
    <row r="445">
      <c r="A445" s="16" t="s">
        <v>142</v>
      </c>
      <c r="B445" s="72">
        <v>43769.0</v>
      </c>
      <c r="C445" s="26">
        <v>7300.0</v>
      </c>
      <c r="D445" s="16" t="s">
        <v>587</v>
      </c>
      <c r="E445" s="16"/>
    </row>
    <row r="446">
      <c r="A446" s="16" t="s">
        <v>142</v>
      </c>
      <c r="B446" s="72">
        <v>43769.0</v>
      </c>
      <c r="C446" s="26">
        <v>7400.0</v>
      </c>
      <c r="D446" s="16" t="s">
        <v>587</v>
      </c>
      <c r="E446" s="16"/>
    </row>
    <row r="447">
      <c r="A447" s="16" t="s">
        <v>142</v>
      </c>
      <c r="B447" s="72">
        <v>43769.0</v>
      </c>
      <c r="C447" s="26">
        <v>7500.0</v>
      </c>
      <c r="D447" s="16" t="s">
        <v>587</v>
      </c>
      <c r="E447" s="16"/>
    </row>
    <row r="448">
      <c r="A448" s="16" t="s">
        <v>142</v>
      </c>
      <c r="B448" s="72">
        <v>43769.0</v>
      </c>
      <c r="C448" s="26">
        <v>7600.0</v>
      </c>
      <c r="D448" s="16" t="s">
        <v>587</v>
      </c>
      <c r="E448" s="16"/>
    </row>
    <row r="449">
      <c r="A449" s="16" t="s">
        <v>142</v>
      </c>
      <c r="B449" s="72">
        <v>43769.0</v>
      </c>
      <c r="C449" s="26">
        <v>7700.0</v>
      </c>
      <c r="D449" s="16" t="s">
        <v>587</v>
      </c>
      <c r="E449" s="16"/>
    </row>
    <row r="450">
      <c r="A450" s="16" t="s">
        <v>142</v>
      </c>
      <c r="B450" s="72">
        <v>43797.0</v>
      </c>
      <c r="C450" s="26">
        <v>7700.0</v>
      </c>
      <c r="D450" s="16" t="s">
        <v>586</v>
      </c>
      <c r="E450" s="16"/>
    </row>
    <row r="451">
      <c r="A451" s="16" t="s">
        <v>142</v>
      </c>
      <c r="B451" s="72">
        <v>43797.0</v>
      </c>
      <c r="C451" s="26">
        <v>7800.0</v>
      </c>
      <c r="D451" s="16" t="s">
        <v>586</v>
      </c>
      <c r="E451" s="16"/>
    </row>
    <row r="452">
      <c r="A452" s="16" t="s">
        <v>142</v>
      </c>
      <c r="B452" s="72">
        <v>43797.0</v>
      </c>
      <c r="C452" s="26">
        <v>8000.0</v>
      </c>
      <c r="D452" s="16" t="s">
        <v>586</v>
      </c>
      <c r="E452" s="16"/>
    </row>
    <row r="453">
      <c r="A453" s="16" t="s">
        <v>142</v>
      </c>
      <c r="B453" s="72">
        <v>43797.0</v>
      </c>
      <c r="C453" s="26">
        <v>7000.0</v>
      </c>
      <c r="D453" s="16" t="s">
        <v>587</v>
      </c>
      <c r="E453" s="16"/>
    </row>
    <row r="454">
      <c r="A454" s="16" t="s">
        <v>142</v>
      </c>
      <c r="B454" s="72">
        <v>43797.0</v>
      </c>
      <c r="C454" s="26">
        <v>7500.0</v>
      </c>
      <c r="D454" s="16" t="s">
        <v>587</v>
      </c>
      <c r="E454" s="16"/>
    </row>
    <row r="455">
      <c r="A455" s="16" t="s">
        <v>148</v>
      </c>
      <c r="B455" s="72">
        <v>43769.0</v>
      </c>
      <c r="C455" s="26">
        <v>110.0</v>
      </c>
      <c r="D455" s="16" t="s">
        <v>586</v>
      </c>
      <c r="E455" s="16"/>
    </row>
    <row r="456">
      <c r="A456" s="16" t="s">
        <v>148</v>
      </c>
      <c r="B456" s="72">
        <v>43769.0</v>
      </c>
      <c r="C456" s="26">
        <v>120.0</v>
      </c>
      <c r="D456" s="16" t="s">
        <v>586</v>
      </c>
      <c r="E456" s="16"/>
    </row>
    <row r="457">
      <c r="A457" s="16" t="s">
        <v>148</v>
      </c>
      <c r="B457" s="72">
        <v>43769.0</v>
      </c>
      <c r="C457" s="26">
        <v>125.0</v>
      </c>
      <c r="D457" s="16" t="s">
        <v>586</v>
      </c>
      <c r="E457" s="16"/>
    </row>
    <row r="458">
      <c r="A458" s="16" t="s">
        <v>148</v>
      </c>
      <c r="B458" s="72">
        <v>43769.0</v>
      </c>
      <c r="C458" s="26">
        <v>130.0</v>
      </c>
      <c r="D458" s="16" t="s">
        <v>586</v>
      </c>
      <c r="E458" s="16"/>
    </row>
    <row r="459">
      <c r="A459" s="16" t="s">
        <v>148</v>
      </c>
      <c r="B459" s="72">
        <v>43769.0</v>
      </c>
      <c r="C459" s="26">
        <v>110.0</v>
      </c>
      <c r="D459" s="16" t="s">
        <v>587</v>
      </c>
      <c r="E459" s="16"/>
    </row>
    <row r="460">
      <c r="A460" s="16" t="s">
        <v>148</v>
      </c>
      <c r="B460" s="72">
        <v>43769.0</v>
      </c>
      <c r="C460" s="26">
        <v>120.0</v>
      </c>
      <c r="D460" s="16" t="s">
        <v>587</v>
      </c>
      <c r="E460" s="16"/>
    </row>
    <row r="461">
      <c r="A461" s="16" t="s">
        <v>153</v>
      </c>
      <c r="B461" s="72">
        <v>43769.0</v>
      </c>
      <c r="C461" s="26">
        <v>55.0</v>
      </c>
      <c r="D461" s="16" t="s">
        <v>586</v>
      </c>
      <c r="E461" s="16"/>
    </row>
    <row r="462">
      <c r="A462" s="16" t="s">
        <v>153</v>
      </c>
      <c r="B462" s="72">
        <v>43769.0</v>
      </c>
      <c r="C462" s="26">
        <v>57.5</v>
      </c>
      <c r="D462" s="16" t="s">
        <v>586</v>
      </c>
      <c r="E462" s="16"/>
    </row>
    <row r="463">
      <c r="A463" s="16" t="s">
        <v>153</v>
      </c>
      <c r="B463" s="72">
        <v>43769.0</v>
      </c>
      <c r="C463" s="26">
        <v>60.0</v>
      </c>
      <c r="D463" s="16" t="s">
        <v>586</v>
      </c>
      <c r="E463" s="16"/>
    </row>
    <row r="464">
      <c r="A464" s="16" t="s">
        <v>157</v>
      </c>
      <c r="B464" s="72">
        <v>43769.0</v>
      </c>
      <c r="C464" s="26">
        <v>120.0</v>
      </c>
      <c r="D464" s="16" t="s">
        <v>586</v>
      </c>
      <c r="E464" s="16"/>
    </row>
    <row r="465">
      <c r="A465" s="16" t="s">
        <v>159</v>
      </c>
      <c r="B465" s="72">
        <v>43769.0</v>
      </c>
      <c r="C465" s="26">
        <v>140.0</v>
      </c>
      <c r="D465" s="16" t="s">
        <v>586</v>
      </c>
      <c r="E465" s="16"/>
    </row>
    <row r="466">
      <c r="A466" s="16" t="s">
        <v>159</v>
      </c>
      <c r="B466" s="72">
        <v>43769.0</v>
      </c>
      <c r="C466" s="26">
        <v>145.0</v>
      </c>
      <c r="D466" s="16" t="s">
        <v>586</v>
      </c>
      <c r="E466" s="16"/>
    </row>
    <row r="467">
      <c r="A467" s="16" t="s">
        <v>161</v>
      </c>
      <c r="B467" s="72">
        <v>43769.0</v>
      </c>
      <c r="C467" s="26">
        <v>1600.0</v>
      </c>
      <c r="D467" s="16" t="s">
        <v>586</v>
      </c>
      <c r="E467" s="16"/>
    </row>
    <row r="468">
      <c r="A468" s="16" t="s">
        <v>161</v>
      </c>
      <c r="B468" s="72">
        <v>43769.0</v>
      </c>
      <c r="C468" s="26">
        <v>1650.0</v>
      </c>
      <c r="D468" s="16" t="s">
        <v>586</v>
      </c>
      <c r="E468" s="16"/>
    </row>
    <row r="469">
      <c r="A469" s="16" t="s">
        <v>161</v>
      </c>
      <c r="B469" s="72">
        <v>43769.0</v>
      </c>
      <c r="C469" s="26">
        <v>1700.0</v>
      </c>
      <c r="D469" s="16" t="s">
        <v>586</v>
      </c>
      <c r="E469" s="16"/>
    </row>
    <row r="470">
      <c r="A470" s="16" t="s">
        <v>161</v>
      </c>
      <c r="B470" s="72">
        <v>43769.0</v>
      </c>
      <c r="C470" s="26">
        <v>1750.0</v>
      </c>
      <c r="D470" s="16" t="s">
        <v>586</v>
      </c>
      <c r="E470" s="16"/>
    </row>
    <row r="471">
      <c r="A471" s="16" t="s">
        <v>161</v>
      </c>
      <c r="B471" s="72">
        <v>43769.0</v>
      </c>
      <c r="C471" s="26">
        <v>1800.0</v>
      </c>
      <c r="D471" s="16" t="s">
        <v>586</v>
      </c>
      <c r="E471" s="16"/>
    </row>
    <row r="472">
      <c r="A472" s="16" t="s">
        <v>161</v>
      </c>
      <c r="B472" s="72">
        <v>43769.0</v>
      </c>
      <c r="C472" s="26">
        <v>1600.0</v>
      </c>
      <c r="D472" s="16" t="s">
        <v>587</v>
      </c>
      <c r="E472" s="16"/>
    </row>
    <row r="473">
      <c r="A473" s="16" t="s">
        <v>169</v>
      </c>
      <c r="B473" s="72">
        <v>43769.0</v>
      </c>
      <c r="C473" s="26">
        <v>260.0</v>
      </c>
      <c r="D473" s="16" t="s">
        <v>586</v>
      </c>
      <c r="E473" s="16"/>
    </row>
    <row r="474">
      <c r="A474" s="16" t="s">
        <v>169</v>
      </c>
      <c r="B474" s="72">
        <v>43769.0</v>
      </c>
      <c r="C474" s="26">
        <v>270.0</v>
      </c>
      <c r="D474" s="16" t="s">
        <v>586</v>
      </c>
      <c r="E474" s="16"/>
    </row>
    <row r="475">
      <c r="A475" s="16" t="s">
        <v>169</v>
      </c>
      <c r="B475" s="72">
        <v>43769.0</v>
      </c>
      <c r="C475" s="26">
        <v>280.0</v>
      </c>
      <c r="D475" s="16" t="s">
        <v>586</v>
      </c>
      <c r="E475" s="16"/>
    </row>
    <row r="476">
      <c r="A476" s="16" t="s">
        <v>169</v>
      </c>
      <c r="B476" s="72">
        <v>43769.0</v>
      </c>
      <c r="C476" s="26">
        <v>290.0</v>
      </c>
      <c r="D476" s="16" t="s">
        <v>586</v>
      </c>
      <c r="E476" s="16"/>
    </row>
    <row r="477">
      <c r="A477" s="16" t="s">
        <v>169</v>
      </c>
      <c r="B477" s="72">
        <v>43769.0</v>
      </c>
      <c r="C477" s="26">
        <v>300.0</v>
      </c>
      <c r="D477" s="16" t="s">
        <v>586</v>
      </c>
      <c r="E477" s="16"/>
    </row>
    <row r="478">
      <c r="A478" s="16" t="s">
        <v>169</v>
      </c>
      <c r="B478" s="72">
        <v>43769.0</v>
      </c>
      <c r="C478" s="26">
        <v>240.0</v>
      </c>
      <c r="D478" s="16" t="s">
        <v>587</v>
      </c>
      <c r="E478" s="16"/>
    </row>
    <row r="479">
      <c r="A479" s="16" t="s">
        <v>169</v>
      </c>
      <c r="B479" s="72">
        <v>43769.0</v>
      </c>
      <c r="C479" s="26">
        <v>250.0</v>
      </c>
      <c r="D479" s="16" t="s">
        <v>587</v>
      </c>
      <c r="E479" s="16"/>
    </row>
    <row r="480">
      <c r="A480" s="16" t="s">
        <v>169</v>
      </c>
      <c r="B480" s="72">
        <v>43769.0</v>
      </c>
      <c r="C480" s="26">
        <v>260.0</v>
      </c>
      <c r="D480" s="16" t="s">
        <v>587</v>
      </c>
      <c r="E480" s="16"/>
    </row>
    <row r="481">
      <c r="A481" s="16" t="s">
        <v>169</v>
      </c>
      <c r="B481" s="72">
        <v>43769.0</v>
      </c>
      <c r="C481" s="26">
        <v>270.0</v>
      </c>
      <c r="D481" s="16" t="s">
        <v>587</v>
      </c>
      <c r="E481" s="16"/>
    </row>
    <row r="482">
      <c r="A482" s="16" t="s">
        <v>169</v>
      </c>
      <c r="B482" s="72">
        <v>43769.0</v>
      </c>
      <c r="C482" s="26">
        <v>280.0</v>
      </c>
      <c r="D482" s="16" t="s">
        <v>587</v>
      </c>
      <c r="E482" s="16"/>
    </row>
    <row r="483">
      <c r="A483" s="16" t="s">
        <v>169</v>
      </c>
      <c r="B483" s="72">
        <v>43797.0</v>
      </c>
      <c r="C483" s="26">
        <v>300.0</v>
      </c>
      <c r="D483" s="16" t="s">
        <v>586</v>
      </c>
      <c r="E483" s="16"/>
    </row>
    <row r="484">
      <c r="A484" s="16" t="s">
        <v>171</v>
      </c>
      <c r="B484" s="72">
        <v>43769.0</v>
      </c>
      <c r="C484" s="26">
        <v>1300.0</v>
      </c>
      <c r="D484" s="16" t="s">
        <v>586</v>
      </c>
      <c r="E484" s="16"/>
    </row>
    <row r="485">
      <c r="A485" s="16" t="s">
        <v>171</v>
      </c>
      <c r="B485" s="72">
        <v>43769.0</v>
      </c>
      <c r="C485" s="26">
        <v>1360.0</v>
      </c>
      <c r="D485" s="16" t="s">
        <v>586</v>
      </c>
      <c r="E485" s="16"/>
    </row>
    <row r="486">
      <c r="A486" s="16" t="s">
        <v>171</v>
      </c>
      <c r="B486" s="72">
        <v>43769.0</v>
      </c>
      <c r="C486" s="26">
        <v>1400.0</v>
      </c>
      <c r="D486" s="16" t="s">
        <v>586</v>
      </c>
      <c r="E486" s="16"/>
    </row>
    <row r="487">
      <c r="A487" s="16" t="s">
        <v>171</v>
      </c>
      <c r="B487" s="72">
        <v>43769.0</v>
      </c>
      <c r="C487" s="26">
        <v>1420.0</v>
      </c>
      <c r="D487" s="16" t="s">
        <v>586</v>
      </c>
      <c r="E487" s="16"/>
    </row>
    <row r="488">
      <c r="A488" s="16" t="s">
        <v>171</v>
      </c>
      <c r="B488" s="72">
        <v>43769.0</v>
      </c>
      <c r="C488" s="26">
        <v>1440.0</v>
      </c>
      <c r="D488" s="16" t="s">
        <v>586</v>
      </c>
      <c r="E488" s="16"/>
    </row>
    <row r="489">
      <c r="A489" s="16" t="s">
        <v>171</v>
      </c>
      <c r="B489" s="72">
        <v>43769.0</v>
      </c>
      <c r="C489" s="26">
        <v>1460.0</v>
      </c>
      <c r="D489" s="16" t="s">
        <v>586</v>
      </c>
      <c r="E489" s="16"/>
    </row>
    <row r="490">
      <c r="A490" s="16" t="s">
        <v>171</v>
      </c>
      <c r="B490" s="72">
        <v>43769.0</v>
      </c>
      <c r="C490" s="26">
        <v>1480.0</v>
      </c>
      <c r="D490" s="16" t="s">
        <v>586</v>
      </c>
      <c r="E490" s="16"/>
    </row>
    <row r="491">
      <c r="A491" s="16" t="s">
        <v>171</v>
      </c>
      <c r="B491" s="72">
        <v>43769.0</v>
      </c>
      <c r="C491" s="26">
        <v>1500.0</v>
      </c>
      <c r="D491" s="16" t="s">
        <v>586</v>
      </c>
      <c r="E491" s="16"/>
    </row>
    <row r="492">
      <c r="A492" s="16" t="s">
        <v>171</v>
      </c>
      <c r="B492" s="72">
        <v>43769.0</v>
      </c>
      <c r="C492" s="26">
        <v>1520.0</v>
      </c>
      <c r="D492" s="16" t="s">
        <v>586</v>
      </c>
      <c r="E492" s="16"/>
    </row>
    <row r="493">
      <c r="A493" s="16" t="s">
        <v>171</v>
      </c>
      <c r="B493" s="72">
        <v>43769.0</v>
      </c>
      <c r="C493" s="26">
        <v>1540.0</v>
      </c>
      <c r="D493" s="16" t="s">
        <v>586</v>
      </c>
      <c r="E493" s="16"/>
    </row>
    <row r="494">
      <c r="A494" s="16" t="s">
        <v>171</v>
      </c>
      <c r="B494" s="72">
        <v>43769.0</v>
      </c>
      <c r="C494" s="26">
        <v>1560.0</v>
      </c>
      <c r="D494" s="16" t="s">
        <v>586</v>
      </c>
      <c r="E494" s="16"/>
    </row>
    <row r="495">
      <c r="A495" s="16" t="s">
        <v>171</v>
      </c>
      <c r="B495" s="72">
        <v>43769.0</v>
      </c>
      <c r="C495" s="26">
        <v>1600.0</v>
      </c>
      <c r="D495" s="16" t="s">
        <v>586</v>
      </c>
      <c r="E495" s="16"/>
    </row>
    <row r="496">
      <c r="A496" s="16" t="s">
        <v>171</v>
      </c>
      <c r="B496" s="72">
        <v>43769.0</v>
      </c>
      <c r="C496" s="26">
        <v>1300.0</v>
      </c>
      <c r="D496" s="16" t="s">
        <v>587</v>
      </c>
      <c r="E496" s="16"/>
    </row>
    <row r="497">
      <c r="A497" s="16" t="s">
        <v>171</v>
      </c>
      <c r="B497" s="72">
        <v>43769.0</v>
      </c>
      <c r="C497" s="26">
        <v>1340.0</v>
      </c>
      <c r="D497" s="16" t="s">
        <v>587</v>
      </c>
      <c r="E497" s="16"/>
    </row>
    <row r="498">
      <c r="A498" s="16" t="s">
        <v>171</v>
      </c>
      <c r="B498" s="72">
        <v>43769.0</v>
      </c>
      <c r="C498" s="26">
        <v>1360.0</v>
      </c>
      <c r="D498" s="16" t="s">
        <v>587</v>
      </c>
      <c r="E498" s="16"/>
    </row>
    <row r="499">
      <c r="A499" s="16" t="s">
        <v>171</v>
      </c>
      <c r="B499" s="72">
        <v>43769.0</v>
      </c>
      <c r="C499" s="26">
        <v>1380.0</v>
      </c>
      <c r="D499" s="16" t="s">
        <v>587</v>
      </c>
      <c r="E499" s="16"/>
    </row>
    <row r="500">
      <c r="A500" s="16" t="s">
        <v>171</v>
      </c>
      <c r="B500" s="72">
        <v>43769.0</v>
      </c>
      <c r="C500" s="26">
        <v>1400.0</v>
      </c>
      <c r="D500" s="16" t="s">
        <v>587</v>
      </c>
      <c r="E500" s="16"/>
    </row>
    <row r="501">
      <c r="A501" s="16" t="s">
        <v>171</v>
      </c>
      <c r="B501" s="72">
        <v>43769.0</v>
      </c>
      <c r="C501" s="26">
        <v>1420.0</v>
      </c>
      <c r="D501" s="16" t="s">
        <v>587</v>
      </c>
      <c r="E501" s="16"/>
    </row>
    <row r="502">
      <c r="A502" s="16" t="s">
        <v>171</v>
      </c>
      <c r="B502" s="72">
        <v>43769.0</v>
      </c>
      <c r="C502" s="26">
        <v>1440.0</v>
      </c>
      <c r="D502" s="16" t="s">
        <v>587</v>
      </c>
      <c r="E502" s="16"/>
    </row>
    <row r="503">
      <c r="A503" s="16" t="s">
        <v>171</v>
      </c>
      <c r="B503" s="72">
        <v>43769.0</v>
      </c>
      <c r="C503" s="26">
        <v>1460.0</v>
      </c>
      <c r="D503" s="16" t="s">
        <v>587</v>
      </c>
      <c r="E503" s="16"/>
    </row>
    <row r="504">
      <c r="A504" s="16" t="s">
        <v>171</v>
      </c>
      <c r="B504" s="72">
        <v>43769.0</v>
      </c>
      <c r="C504" s="26">
        <v>1480.0</v>
      </c>
      <c r="D504" s="16" t="s">
        <v>587</v>
      </c>
      <c r="E504" s="16"/>
    </row>
    <row r="505">
      <c r="A505" s="16" t="s">
        <v>171</v>
      </c>
      <c r="B505" s="72">
        <v>43797.0</v>
      </c>
      <c r="C505" s="26">
        <v>1400.0</v>
      </c>
      <c r="D505" s="16" t="s">
        <v>586</v>
      </c>
      <c r="E505" s="16"/>
    </row>
    <row r="506">
      <c r="A506" s="16" t="s">
        <v>171</v>
      </c>
      <c r="B506" s="72">
        <v>43797.0</v>
      </c>
      <c r="C506" s="26">
        <v>1440.0</v>
      </c>
      <c r="D506" s="16" t="s">
        <v>586</v>
      </c>
      <c r="E506" s="16"/>
    </row>
    <row r="507">
      <c r="A507" s="16" t="s">
        <v>171</v>
      </c>
      <c r="B507" s="72">
        <v>43797.0</v>
      </c>
      <c r="C507" s="26">
        <v>1460.0</v>
      </c>
      <c r="D507" s="16" t="s">
        <v>586</v>
      </c>
      <c r="E507" s="16"/>
    </row>
    <row r="508">
      <c r="A508" s="16" t="s">
        <v>171</v>
      </c>
      <c r="B508" s="72">
        <v>43797.0</v>
      </c>
      <c r="C508" s="26">
        <v>1480.0</v>
      </c>
      <c r="D508" s="16" t="s">
        <v>586</v>
      </c>
      <c r="E508" s="16"/>
    </row>
    <row r="509">
      <c r="A509" s="16" t="s">
        <v>171</v>
      </c>
      <c r="B509" s="72">
        <v>43797.0</v>
      </c>
      <c r="C509" s="26">
        <v>1500.0</v>
      </c>
      <c r="D509" s="16" t="s">
        <v>586</v>
      </c>
      <c r="E509" s="16"/>
    </row>
    <row r="510">
      <c r="A510" s="16" t="s">
        <v>171</v>
      </c>
      <c r="B510" s="72">
        <v>43797.0</v>
      </c>
      <c r="C510" s="26">
        <v>1520.0</v>
      </c>
      <c r="D510" s="16" t="s">
        <v>586</v>
      </c>
      <c r="E510" s="16"/>
    </row>
    <row r="511">
      <c r="A511" s="16" t="s">
        <v>171</v>
      </c>
      <c r="B511" s="72">
        <v>43797.0</v>
      </c>
      <c r="C511" s="26">
        <v>1540.0</v>
      </c>
      <c r="D511" s="16" t="s">
        <v>586</v>
      </c>
      <c r="E511" s="16"/>
    </row>
    <row r="512">
      <c r="A512" s="16" t="s">
        <v>171</v>
      </c>
      <c r="B512" s="72">
        <v>43797.0</v>
      </c>
      <c r="C512" s="26">
        <v>1600.0</v>
      </c>
      <c r="D512" s="16" t="s">
        <v>586</v>
      </c>
      <c r="E512" s="16"/>
    </row>
    <row r="513">
      <c r="A513" s="16" t="s">
        <v>171</v>
      </c>
      <c r="B513" s="72">
        <v>43797.0</v>
      </c>
      <c r="C513" s="26">
        <v>1320.0</v>
      </c>
      <c r="D513" s="16" t="s">
        <v>587</v>
      </c>
      <c r="E513" s="16"/>
    </row>
    <row r="514">
      <c r="A514" s="16" t="s">
        <v>171</v>
      </c>
      <c r="B514" s="72">
        <v>43797.0</v>
      </c>
      <c r="C514" s="26">
        <v>1340.0</v>
      </c>
      <c r="D514" s="16" t="s">
        <v>587</v>
      </c>
      <c r="E514" s="16"/>
    </row>
    <row r="515">
      <c r="A515" s="16" t="s">
        <v>171</v>
      </c>
      <c r="B515" s="72">
        <v>43797.0</v>
      </c>
      <c r="C515" s="26">
        <v>1360.0</v>
      </c>
      <c r="D515" s="16" t="s">
        <v>587</v>
      </c>
      <c r="E515" s="16"/>
    </row>
    <row r="516">
      <c r="A516" s="16" t="s">
        <v>171</v>
      </c>
      <c r="B516" s="72">
        <v>43797.0</v>
      </c>
      <c r="C516" s="26">
        <v>1400.0</v>
      </c>
      <c r="D516" s="16" t="s">
        <v>587</v>
      </c>
      <c r="E516" s="16"/>
    </row>
    <row r="517">
      <c r="A517" s="16" t="s">
        <v>171</v>
      </c>
      <c r="B517" s="72">
        <v>43797.0</v>
      </c>
      <c r="C517" s="26">
        <v>1420.0</v>
      </c>
      <c r="D517" s="16" t="s">
        <v>587</v>
      </c>
      <c r="E517" s="16"/>
    </row>
    <row r="518">
      <c r="A518" s="16" t="s">
        <v>171</v>
      </c>
      <c r="B518" s="72">
        <v>43797.0</v>
      </c>
      <c r="C518" s="26">
        <v>1440.0</v>
      </c>
      <c r="D518" s="16" t="s">
        <v>587</v>
      </c>
      <c r="E518" s="16"/>
    </row>
    <row r="519">
      <c r="A519" s="16" t="s">
        <v>171</v>
      </c>
      <c r="B519" s="72">
        <v>43797.0</v>
      </c>
      <c r="C519" s="26">
        <v>1460.0</v>
      </c>
      <c r="D519" s="16" t="s">
        <v>587</v>
      </c>
      <c r="E519" s="16"/>
    </row>
    <row r="520">
      <c r="A520" s="16" t="s">
        <v>172</v>
      </c>
      <c r="B520" s="72">
        <v>43769.0</v>
      </c>
      <c r="C520" s="26">
        <v>37.0</v>
      </c>
      <c r="D520" s="16" t="s">
        <v>586</v>
      </c>
      <c r="E520" s="16"/>
    </row>
    <row r="521">
      <c r="A521" s="16" t="s">
        <v>173</v>
      </c>
      <c r="B521" s="72">
        <v>43769.0</v>
      </c>
      <c r="C521" s="26">
        <v>270.0</v>
      </c>
      <c r="D521" s="16" t="s">
        <v>586</v>
      </c>
      <c r="E521" s="16"/>
    </row>
    <row r="522">
      <c r="A522" s="16" t="s">
        <v>173</v>
      </c>
      <c r="B522" s="72">
        <v>43769.0</v>
      </c>
      <c r="C522" s="26">
        <v>275.0</v>
      </c>
      <c r="D522" s="16" t="s">
        <v>586</v>
      </c>
      <c r="E522" s="16"/>
    </row>
    <row r="523">
      <c r="A523" s="16" t="s">
        <v>173</v>
      </c>
      <c r="B523" s="72">
        <v>43769.0</v>
      </c>
      <c r="C523" s="26">
        <v>280.0</v>
      </c>
      <c r="D523" s="16" t="s">
        <v>586</v>
      </c>
      <c r="E523" s="16"/>
    </row>
    <row r="524">
      <c r="A524" s="16" t="s">
        <v>173</v>
      </c>
      <c r="B524" s="72">
        <v>43769.0</v>
      </c>
      <c r="C524" s="26">
        <v>285.0</v>
      </c>
      <c r="D524" s="16" t="s">
        <v>586</v>
      </c>
      <c r="E524" s="16"/>
    </row>
    <row r="525">
      <c r="A525" s="16" t="s">
        <v>173</v>
      </c>
      <c r="B525" s="72">
        <v>43769.0</v>
      </c>
      <c r="C525" s="26">
        <v>290.0</v>
      </c>
      <c r="D525" s="16" t="s">
        <v>586</v>
      </c>
      <c r="E525" s="16"/>
    </row>
    <row r="526">
      <c r="A526" s="16" t="s">
        <v>173</v>
      </c>
      <c r="B526" s="72">
        <v>43769.0</v>
      </c>
      <c r="C526" s="26">
        <v>295.0</v>
      </c>
      <c r="D526" s="16" t="s">
        <v>586</v>
      </c>
      <c r="E526" s="16"/>
    </row>
    <row r="527">
      <c r="A527" s="16" t="s">
        <v>173</v>
      </c>
      <c r="B527" s="72">
        <v>43769.0</v>
      </c>
      <c r="C527" s="26">
        <v>300.0</v>
      </c>
      <c r="D527" s="16" t="s">
        <v>586</v>
      </c>
      <c r="E527" s="16"/>
    </row>
    <row r="528">
      <c r="A528" s="16" t="s">
        <v>173</v>
      </c>
      <c r="B528" s="72">
        <v>43769.0</v>
      </c>
      <c r="C528" s="26">
        <v>305.0</v>
      </c>
      <c r="D528" s="16" t="s">
        <v>586</v>
      </c>
      <c r="E528" s="16"/>
    </row>
    <row r="529">
      <c r="A529" s="16" t="s">
        <v>173</v>
      </c>
      <c r="B529" s="72">
        <v>43769.0</v>
      </c>
      <c r="C529" s="26">
        <v>310.0</v>
      </c>
      <c r="D529" s="16" t="s">
        <v>586</v>
      </c>
      <c r="E529" s="16"/>
    </row>
    <row r="530">
      <c r="A530" s="16" t="s">
        <v>173</v>
      </c>
      <c r="B530" s="72">
        <v>43769.0</v>
      </c>
      <c r="C530" s="26">
        <v>315.0</v>
      </c>
      <c r="D530" s="16" t="s">
        <v>586</v>
      </c>
      <c r="E530" s="16"/>
    </row>
    <row r="531">
      <c r="A531" s="16" t="s">
        <v>173</v>
      </c>
      <c r="B531" s="72">
        <v>43769.0</v>
      </c>
      <c r="C531" s="26">
        <v>320.0</v>
      </c>
      <c r="D531" s="16" t="s">
        <v>586</v>
      </c>
      <c r="E531" s="16"/>
    </row>
    <row r="532">
      <c r="A532" s="16" t="s">
        <v>173</v>
      </c>
      <c r="B532" s="72">
        <v>43769.0</v>
      </c>
      <c r="C532" s="26">
        <v>250.0</v>
      </c>
      <c r="D532" s="16" t="s">
        <v>587</v>
      </c>
      <c r="E532" s="16"/>
    </row>
    <row r="533">
      <c r="A533" s="16" t="s">
        <v>173</v>
      </c>
      <c r="B533" s="72">
        <v>43769.0</v>
      </c>
      <c r="C533" s="26">
        <v>260.0</v>
      </c>
      <c r="D533" s="16" t="s">
        <v>587</v>
      </c>
      <c r="E533" s="16"/>
    </row>
    <row r="534">
      <c r="A534" s="16" t="s">
        <v>173</v>
      </c>
      <c r="B534" s="72">
        <v>43769.0</v>
      </c>
      <c r="C534" s="26">
        <v>265.0</v>
      </c>
      <c r="D534" s="16" t="s">
        <v>587</v>
      </c>
      <c r="E534" s="16"/>
    </row>
    <row r="535">
      <c r="A535" s="16" t="s">
        <v>173</v>
      </c>
      <c r="B535" s="72">
        <v>43769.0</v>
      </c>
      <c r="C535" s="26">
        <v>270.0</v>
      </c>
      <c r="D535" s="16" t="s">
        <v>587</v>
      </c>
      <c r="E535" s="16"/>
    </row>
    <row r="536">
      <c r="A536" s="16" t="s">
        <v>173</v>
      </c>
      <c r="B536" s="72">
        <v>43769.0</v>
      </c>
      <c r="C536" s="26">
        <v>275.0</v>
      </c>
      <c r="D536" s="16" t="s">
        <v>587</v>
      </c>
      <c r="E536" s="16"/>
    </row>
    <row r="537">
      <c r="A537" s="16" t="s">
        <v>173</v>
      </c>
      <c r="B537" s="72">
        <v>43769.0</v>
      </c>
      <c r="C537" s="26">
        <v>280.0</v>
      </c>
      <c r="D537" s="16" t="s">
        <v>587</v>
      </c>
      <c r="E537" s="16"/>
    </row>
    <row r="538">
      <c r="A538" s="16" t="s">
        <v>173</v>
      </c>
      <c r="B538" s="72">
        <v>43769.0</v>
      </c>
      <c r="C538" s="26">
        <v>285.0</v>
      </c>
      <c r="D538" s="16" t="s">
        <v>587</v>
      </c>
      <c r="E538" s="16"/>
    </row>
    <row r="539">
      <c r="A539" s="16" t="s">
        <v>173</v>
      </c>
      <c r="B539" s="72">
        <v>43769.0</v>
      </c>
      <c r="C539" s="26">
        <v>290.0</v>
      </c>
      <c r="D539" s="16" t="s">
        <v>587</v>
      </c>
      <c r="E539" s="16"/>
    </row>
    <row r="540">
      <c r="A540" s="16" t="s">
        <v>173</v>
      </c>
      <c r="B540" s="72">
        <v>43797.0</v>
      </c>
      <c r="C540" s="26">
        <v>280.0</v>
      </c>
      <c r="D540" s="16" t="s">
        <v>586</v>
      </c>
      <c r="E540" s="16"/>
    </row>
    <row r="541">
      <c r="A541" s="16" t="s">
        <v>173</v>
      </c>
      <c r="B541" s="72">
        <v>43797.0</v>
      </c>
      <c r="C541" s="26">
        <v>285.0</v>
      </c>
      <c r="D541" s="16" t="s">
        <v>586</v>
      </c>
      <c r="E541" s="16"/>
    </row>
    <row r="542">
      <c r="A542" s="16" t="s">
        <v>173</v>
      </c>
      <c r="B542" s="72">
        <v>43797.0</v>
      </c>
      <c r="C542" s="26">
        <v>290.0</v>
      </c>
      <c r="D542" s="16" t="s">
        <v>586</v>
      </c>
      <c r="E542" s="16"/>
    </row>
    <row r="543">
      <c r="A543" s="16" t="s">
        <v>173</v>
      </c>
      <c r="B543" s="72">
        <v>43797.0</v>
      </c>
      <c r="C543" s="26">
        <v>300.0</v>
      </c>
      <c r="D543" s="16" t="s">
        <v>586</v>
      </c>
      <c r="E543" s="16"/>
    </row>
    <row r="544">
      <c r="A544" s="16" t="s">
        <v>173</v>
      </c>
      <c r="B544" s="72">
        <v>43797.0</v>
      </c>
      <c r="C544" s="26">
        <v>310.0</v>
      </c>
      <c r="D544" s="16" t="s">
        <v>586</v>
      </c>
      <c r="E544" s="16"/>
    </row>
    <row r="545">
      <c r="A545" s="16" t="s">
        <v>173</v>
      </c>
      <c r="B545" s="72">
        <v>43797.0</v>
      </c>
      <c r="C545" s="26">
        <v>320.0</v>
      </c>
      <c r="D545" s="16" t="s">
        <v>586</v>
      </c>
      <c r="E545" s="16"/>
    </row>
    <row r="546">
      <c r="A546" s="16" t="s">
        <v>173</v>
      </c>
      <c r="B546" s="72">
        <v>43797.0</v>
      </c>
      <c r="C546" s="26">
        <v>270.0</v>
      </c>
      <c r="D546" s="16" t="s">
        <v>587</v>
      </c>
      <c r="E546" s="16"/>
    </row>
    <row r="547">
      <c r="A547" s="16" t="s">
        <v>173</v>
      </c>
      <c r="B547" s="72">
        <v>43797.0</v>
      </c>
      <c r="C547" s="26">
        <v>280.0</v>
      </c>
      <c r="D547" s="16" t="s">
        <v>587</v>
      </c>
      <c r="E547" s="16"/>
    </row>
    <row r="548">
      <c r="A548" s="16" t="s">
        <v>176</v>
      </c>
      <c r="B548" s="72">
        <v>43769.0</v>
      </c>
      <c r="C548" s="26">
        <v>2900.0</v>
      </c>
      <c r="D548" s="16" t="s">
        <v>586</v>
      </c>
      <c r="E548" s="16"/>
    </row>
    <row r="549">
      <c r="A549" s="16" t="s">
        <v>176</v>
      </c>
      <c r="B549" s="72">
        <v>43769.0</v>
      </c>
      <c r="C549" s="26">
        <v>3000.0</v>
      </c>
      <c r="D549" s="16" t="s">
        <v>586</v>
      </c>
      <c r="E549" s="16"/>
    </row>
    <row r="550">
      <c r="A550" s="16" t="s">
        <v>179</v>
      </c>
      <c r="B550" s="72">
        <v>43769.0</v>
      </c>
      <c r="C550" s="26">
        <v>410.0</v>
      </c>
      <c r="D550" s="16" t="s">
        <v>586</v>
      </c>
      <c r="E550" s="16"/>
    </row>
    <row r="551">
      <c r="A551" s="16" t="s">
        <v>179</v>
      </c>
      <c r="B551" s="72">
        <v>43769.0</v>
      </c>
      <c r="C551" s="26">
        <v>420.0</v>
      </c>
      <c r="D551" s="16" t="s">
        <v>586</v>
      </c>
      <c r="E551" s="16"/>
    </row>
    <row r="552">
      <c r="A552" s="16" t="s">
        <v>179</v>
      </c>
      <c r="B552" s="72">
        <v>43769.0</v>
      </c>
      <c r="C552" s="26">
        <v>430.0</v>
      </c>
      <c r="D552" s="16" t="s">
        <v>586</v>
      </c>
      <c r="E552" s="16"/>
    </row>
    <row r="553">
      <c r="A553" s="16" t="s">
        <v>179</v>
      </c>
      <c r="B553" s="72">
        <v>43769.0</v>
      </c>
      <c r="C553" s="26">
        <v>440.0</v>
      </c>
      <c r="D553" s="16" t="s">
        <v>586</v>
      </c>
      <c r="E553" s="16"/>
    </row>
    <row r="554">
      <c r="A554" s="16" t="s">
        <v>179</v>
      </c>
      <c r="B554" s="72">
        <v>43769.0</v>
      </c>
      <c r="C554" s="26">
        <v>400.0</v>
      </c>
      <c r="D554" s="16" t="s">
        <v>587</v>
      </c>
      <c r="E554" s="16"/>
    </row>
    <row r="555">
      <c r="A555" s="16" t="s">
        <v>179</v>
      </c>
      <c r="B555" s="72">
        <v>43769.0</v>
      </c>
      <c r="C555" s="26">
        <v>410.0</v>
      </c>
      <c r="D555" s="16" t="s">
        <v>587</v>
      </c>
      <c r="E555" s="16"/>
    </row>
    <row r="556">
      <c r="A556" s="16" t="s">
        <v>179</v>
      </c>
      <c r="B556" s="72">
        <v>43769.0</v>
      </c>
      <c r="C556" s="26">
        <v>420.0</v>
      </c>
      <c r="D556" s="16" t="s">
        <v>587</v>
      </c>
      <c r="E556" s="16"/>
    </row>
    <row r="557">
      <c r="A557" s="16" t="s">
        <v>184</v>
      </c>
      <c r="B557" s="72">
        <v>43769.0</v>
      </c>
      <c r="C557" s="26">
        <v>130.0</v>
      </c>
      <c r="D557" s="16" t="s">
        <v>586</v>
      </c>
      <c r="E557" s="16"/>
    </row>
    <row r="558">
      <c r="A558" s="16" t="s">
        <v>184</v>
      </c>
      <c r="B558" s="72">
        <v>43769.0</v>
      </c>
      <c r="C558" s="26">
        <v>135.0</v>
      </c>
      <c r="D558" s="16" t="s">
        <v>586</v>
      </c>
      <c r="E558" s="16"/>
    </row>
    <row r="559">
      <c r="A559" s="16" t="s">
        <v>184</v>
      </c>
      <c r="B559" s="72">
        <v>43769.0</v>
      </c>
      <c r="C559" s="26">
        <v>140.0</v>
      </c>
      <c r="D559" s="16" t="s">
        <v>586</v>
      </c>
      <c r="E559" s="16"/>
    </row>
    <row r="560">
      <c r="A560" s="16" t="s">
        <v>184</v>
      </c>
      <c r="B560" s="72">
        <v>43769.0</v>
      </c>
      <c r="C560" s="26">
        <v>145.0</v>
      </c>
      <c r="D560" s="16" t="s">
        <v>586</v>
      </c>
      <c r="E560" s="16"/>
    </row>
    <row r="561">
      <c r="A561" s="16" t="s">
        <v>184</v>
      </c>
      <c r="B561" s="72">
        <v>43769.0</v>
      </c>
      <c r="C561" s="26">
        <v>150.0</v>
      </c>
      <c r="D561" s="16" t="s">
        <v>586</v>
      </c>
      <c r="E561" s="16"/>
    </row>
    <row r="562">
      <c r="A562" s="16" t="s">
        <v>184</v>
      </c>
      <c r="B562" s="72">
        <v>43769.0</v>
      </c>
      <c r="C562" s="26">
        <v>155.0</v>
      </c>
      <c r="D562" s="16" t="s">
        <v>586</v>
      </c>
      <c r="E562" s="16"/>
    </row>
    <row r="563">
      <c r="A563" s="16" t="s">
        <v>184</v>
      </c>
      <c r="B563" s="72">
        <v>43769.0</v>
      </c>
      <c r="C563" s="26">
        <v>160.0</v>
      </c>
      <c r="D563" s="16" t="s">
        <v>586</v>
      </c>
      <c r="E563" s="16"/>
    </row>
    <row r="564">
      <c r="A564" s="16" t="s">
        <v>184</v>
      </c>
      <c r="B564" s="72">
        <v>43769.0</v>
      </c>
      <c r="C564" s="26">
        <v>165.0</v>
      </c>
      <c r="D564" s="16" t="s">
        <v>586</v>
      </c>
      <c r="E564" s="16"/>
    </row>
    <row r="565">
      <c r="A565" s="16" t="s">
        <v>184</v>
      </c>
      <c r="B565" s="72">
        <v>43769.0</v>
      </c>
      <c r="C565" s="26">
        <v>170.0</v>
      </c>
      <c r="D565" s="16" t="s">
        <v>586</v>
      </c>
      <c r="E565" s="16"/>
    </row>
    <row r="566">
      <c r="A566" s="16" t="s">
        <v>184</v>
      </c>
      <c r="B566" s="72">
        <v>43769.0</v>
      </c>
      <c r="C566" s="26">
        <v>175.0</v>
      </c>
      <c r="D566" s="16" t="s">
        <v>586</v>
      </c>
      <c r="E566" s="16"/>
    </row>
    <row r="567">
      <c r="A567" s="16" t="s">
        <v>184</v>
      </c>
      <c r="B567" s="72">
        <v>43769.0</v>
      </c>
      <c r="C567" s="26">
        <v>180.0</v>
      </c>
      <c r="D567" s="16" t="s">
        <v>586</v>
      </c>
      <c r="E567" s="16"/>
    </row>
    <row r="568">
      <c r="A568" s="16" t="s">
        <v>184</v>
      </c>
      <c r="B568" s="72">
        <v>43769.0</v>
      </c>
      <c r="C568" s="26">
        <v>185.0</v>
      </c>
      <c r="D568" s="16" t="s">
        <v>586</v>
      </c>
      <c r="E568" s="16"/>
    </row>
    <row r="569">
      <c r="A569" s="16" t="s">
        <v>184</v>
      </c>
      <c r="B569" s="72">
        <v>43769.0</v>
      </c>
      <c r="C569" s="26">
        <v>190.0</v>
      </c>
      <c r="D569" s="16" t="s">
        <v>586</v>
      </c>
      <c r="E569" s="16"/>
    </row>
    <row r="570">
      <c r="A570" s="16" t="s">
        <v>184</v>
      </c>
      <c r="B570" s="72">
        <v>43769.0</v>
      </c>
      <c r="C570" s="26">
        <v>195.0</v>
      </c>
      <c r="D570" s="16" t="s">
        <v>586</v>
      </c>
      <c r="E570" s="16"/>
    </row>
    <row r="571">
      <c r="A571" s="16" t="s">
        <v>184</v>
      </c>
      <c r="B571" s="72">
        <v>43769.0</v>
      </c>
      <c r="C571" s="26">
        <v>200.0</v>
      </c>
      <c r="D571" s="16" t="s">
        <v>586</v>
      </c>
      <c r="E571" s="16"/>
    </row>
    <row r="572">
      <c r="A572" s="16" t="s">
        <v>184</v>
      </c>
      <c r="B572" s="72">
        <v>43769.0</v>
      </c>
      <c r="C572" s="26">
        <v>120.0</v>
      </c>
      <c r="D572" s="16" t="s">
        <v>587</v>
      </c>
      <c r="E572" s="16"/>
    </row>
    <row r="573">
      <c r="A573" s="16" t="s">
        <v>184</v>
      </c>
      <c r="B573" s="72">
        <v>43769.0</v>
      </c>
      <c r="C573" s="26">
        <v>130.0</v>
      </c>
      <c r="D573" s="16" t="s">
        <v>587</v>
      </c>
      <c r="E573" s="16"/>
    </row>
    <row r="574">
      <c r="A574" s="16" t="s">
        <v>184</v>
      </c>
      <c r="B574" s="72">
        <v>43769.0</v>
      </c>
      <c r="C574" s="26">
        <v>135.0</v>
      </c>
      <c r="D574" s="16" t="s">
        <v>587</v>
      </c>
      <c r="E574" s="16"/>
    </row>
    <row r="575">
      <c r="A575" s="16" t="s">
        <v>184</v>
      </c>
      <c r="B575" s="72">
        <v>43769.0</v>
      </c>
      <c r="C575" s="26">
        <v>140.0</v>
      </c>
      <c r="D575" s="16" t="s">
        <v>587</v>
      </c>
      <c r="E575" s="16"/>
    </row>
    <row r="576">
      <c r="A576" s="16" t="s">
        <v>184</v>
      </c>
      <c r="B576" s="72">
        <v>43769.0</v>
      </c>
      <c r="C576" s="26">
        <v>145.0</v>
      </c>
      <c r="D576" s="16" t="s">
        <v>587</v>
      </c>
      <c r="E576" s="16"/>
    </row>
    <row r="577">
      <c r="A577" s="16" t="s">
        <v>184</v>
      </c>
      <c r="B577" s="72">
        <v>43769.0</v>
      </c>
      <c r="C577" s="26">
        <v>150.0</v>
      </c>
      <c r="D577" s="16" t="s">
        <v>587</v>
      </c>
      <c r="E577" s="16"/>
    </row>
    <row r="578">
      <c r="A578" s="16" t="s">
        <v>184</v>
      </c>
      <c r="B578" s="72">
        <v>43769.0</v>
      </c>
      <c r="C578" s="26">
        <v>155.0</v>
      </c>
      <c r="D578" s="16" t="s">
        <v>587</v>
      </c>
      <c r="E578" s="16"/>
    </row>
    <row r="579">
      <c r="A579" s="16" t="s">
        <v>184</v>
      </c>
      <c r="B579" s="72">
        <v>43769.0</v>
      </c>
      <c r="C579" s="26">
        <v>160.0</v>
      </c>
      <c r="D579" s="16" t="s">
        <v>587</v>
      </c>
      <c r="E579" s="16"/>
    </row>
    <row r="580">
      <c r="A580" s="16" t="s">
        <v>184</v>
      </c>
      <c r="B580" s="72">
        <v>43769.0</v>
      </c>
      <c r="C580" s="26">
        <v>165.0</v>
      </c>
      <c r="D580" s="16" t="s">
        <v>587</v>
      </c>
      <c r="E580" s="16"/>
    </row>
    <row r="581">
      <c r="A581" s="16" t="s">
        <v>184</v>
      </c>
      <c r="B581" s="72">
        <v>43769.0</v>
      </c>
      <c r="C581" s="26">
        <v>170.0</v>
      </c>
      <c r="D581" s="16" t="s">
        <v>587</v>
      </c>
      <c r="E581" s="16"/>
    </row>
    <row r="582">
      <c r="A582" s="16" t="s">
        <v>184</v>
      </c>
      <c r="B582" s="72">
        <v>43769.0</v>
      </c>
      <c r="C582" s="26">
        <v>175.0</v>
      </c>
      <c r="D582" s="16" t="s">
        <v>587</v>
      </c>
      <c r="E582" s="16"/>
    </row>
    <row r="583">
      <c r="A583" s="16" t="s">
        <v>184</v>
      </c>
      <c r="B583" s="72">
        <v>43797.0</v>
      </c>
      <c r="C583" s="26">
        <v>150.0</v>
      </c>
      <c r="D583" s="16" t="s">
        <v>586</v>
      </c>
      <c r="E583" s="16"/>
    </row>
    <row r="584">
      <c r="A584" s="16" t="s">
        <v>184</v>
      </c>
      <c r="B584" s="72">
        <v>43797.0</v>
      </c>
      <c r="C584" s="26">
        <v>160.0</v>
      </c>
      <c r="D584" s="16" t="s">
        <v>586</v>
      </c>
      <c r="E584" s="16"/>
    </row>
    <row r="585">
      <c r="A585" s="16" t="s">
        <v>184</v>
      </c>
      <c r="B585" s="72">
        <v>43797.0</v>
      </c>
      <c r="C585" s="26">
        <v>165.0</v>
      </c>
      <c r="D585" s="16" t="s">
        <v>586</v>
      </c>
      <c r="E585" s="16"/>
    </row>
    <row r="586">
      <c r="A586" s="16" t="s">
        <v>184</v>
      </c>
      <c r="B586" s="72">
        <v>43797.0</v>
      </c>
      <c r="C586" s="26">
        <v>170.0</v>
      </c>
      <c r="D586" s="16" t="s">
        <v>586</v>
      </c>
      <c r="E586" s="16"/>
    </row>
    <row r="587">
      <c r="A587" s="16" t="s">
        <v>184</v>
      </c>
      <c r="B587" s="72">
        <v>43797.0</v>
      </c>
      <c r="C587" s="26">
        <v>175.0</v>
      </c>
      <c r="D587" s="16" t="s">
        <v>586</v>
      </c>
      <c r="E587" s="16"/>
    </row>
    <row r="588">
      <c r="A588" s="16" t="s">
        <v>184</v>
      </c>
      <c r="B588" s="72">
        <v>43797.0</v>
      </c>
      <c r="C588" s="26">
        <v>180.0</v>
      </c>
      <c r="D588" s="16" t="s">
        <v>586</v>
      </c>
      <c r="E588" s="16"/>
    </row>
    <row r="589">
      <c r="A589" s="16" t="s">
        <v>184</v>
      </c>
      <c r="B589" s="72">
        <v>43797.0</v>
      </c>
      <c r="C589" s="26">
        <v>185.0</v>
      </c>
      <c r="D589" s="16" t="s">
        <v>586</v>
      </c>
      <c r="E589" s="16"/>
    </row>
    <row r="590">
      <c r="A590" s="16" t="s">
        <v>184</v>
      </c>
      <c r="B590" s="72">
        <v>43797.0</v>
      </c>
      <c r="C590" s="26">
        <v>120.0</v>
      </c>
      <c r="D590" s="16" t="s">
        <v>587</v>
      </c>
      <c r="E590" s="16"/>
    </row>
    <row r="591">
      <c r="A591" s="16" t="s">
        <v>184</v>
      </c>
      <c r="B591" s="72">
        <v>43797.0</v>
      </c>
      <c r="C591" s="26">
        <v>130.0</v>
      </c>
      <c r="D591" s="16" t="s">
        <v>587</v>
      </c>
      <c r="E591" s="16"/>
    </row>
    <row r="592">
      <c r="A592" s="16" t="s">
        <v>184</v>
      </c>
      <c r="B592" s="72">
        <v>43797.0</v>
      </c>
      <c r="C592" s="26">
        <v>140.0</v>
      </c>
      <c r="D592" s="16" t="s">
        <v>587</v>
      </c>
      <c r="E592" s="16"/>
    </row>
    <row r="593">
      <c r="A593" s="16" t="s">
        <v>184</v>
      </c>
      <c r="B593" s="72">
        <v>43797.0</v>
      </c>
      <c r="C593" s="26">
        <v>150.0</v>
      </c>
      <c r="D593" s="16" t="s">
        <v>587</v>
      </c>
      <c r="E593" s="16"/>
    </row>
    <row r="594">
      <c r="A594" s="16" t="s">
        <v>184</v>
      </c>
      <c r="B594" s="72">
        <v>43797.0</v>
      </c>
      <c r="C594" s="26">
        <v>155.0</v>
      </c>
      <c r="D594" s="16" t="s">
        <v>587</v>
      </c>
      <c r="E594" s="16"/>
    </row>
    <row r="595">
      <c r="A595" s="16" t="s">
        <v>184</v>
      </c>
      <c r="B595" s="72">
        <v>43797.0</v>
      </c>
      <c r="C595" s="26">
        <v>160.0</v>
      </c>
      <c r="D595" s="16" t="s">
        <v>587</v>
      </c>
      <c r="E595" s="16"/>
    </row>
    <row r="596">
      <c r="A596" s="16" t="s">
        <v>184</v>
      </c>
      <c r="B596" s="72">
        <v>43797.0</v>
      </c>
      <c r="C596" s="26">
        <v>165.0</v>
      </c>
      <c r="D596" s="16" t="s">
        <v>587</v>
      </c>
      <c r="E596" s="16"/>
    </row>
    <row r="597">
      <c r="A597" s="16" t="s">
        <v>184</v>
      </c>
      <c r="B597" s="72">
        <v>43797.0</v>
      </c>
      <c r="C597" s="26">
        <v>170.0</v>
      </c>
      <c r="D597" s="16" t="s">
        <v>587</v>
      </c>
      <c r="E597" s="16"/>
    </row>
    <row r="598">
      <c r="A598" s="16" t="s">
        <v>187</v>
      </c>
      <c r="B598" s="72">
        <v>43769.0</v>
      </c>
      <c r="C598" s="26">
        <v>360.0</v>
      </c>
      <c r="D598" s="16" t="s">
        <v>586</v>
      </c>
      <c r="E598" s="16"/>
    </row>
    <row r="599">
      <c r="A599" s="16" t="s">
        <v>187</v>
      </c>
      <c r="B599" s="72">
        <v>43769.0</v>
      </c>
      <c r="C599" s="26">
        <v>370.0</v>
      </c>
      <c r="D599" s="16" t="s">
        <v>586</v>
      </c>
      <c r="E599" s="16"/>
    </row>
    <row r="600">
      <c r="A600" s="16" t="s">
        <v>187</v>
      </c>
      <c r="B600" s="72">
        <v>43769.0</v>
      </c>
      <c r="C600" s="26">
        <v>380.0</v>
      </c>
      <c r="D600" s="16" t="s">
        <v>586</v>
      </c>
      <c r="E600" s="16"/>
    </row>
    <row r="601">
      <c r="A601" s="16" t="s">
        <v>187</v>
      </c>
      <c r="B601" s="72">
        <v>43769.0</v>
      </c>
      <c r="C601" s="26">
        <v>390.0</v>
      </c>
      <c r="D601" s="16" t="s">
        <v>586</v>
      </c>
      <c r="E601" s="16"/>
    </row>
    <row r="602">
      <c r="A602" s="16" t="s">
        <v>187</v>
      </c>
      <c r="B602" s="72">
        <v>43769.0</v>
      </c>
      <c r="C602" s="26">
        <v>400.0</v>
      </c>
      <c r="D602" s="16" t="s">
        <v>586</v>
      </c>
      <c r="E602" s="16"/>
    </row>
    <row r="603">
      <c r="A603" s="16" t="s">
        <v>187</v>
      </c>
      <c r="B603" s="72">
        <v>43769.0</v>
      </c>
      <c r="C603" s="26">
        <v>410.0</v>
      </c>
      <c r="D603" s="16" t="s">
        <v>586</v>
      </c>
      <c r="E603" s="16"/>
    </row>
    <row r="604">
      <c r="A604" s="16" t="s">
        <v>187</v>
      </c>
      <c r="B604" s="72">
        <v>43769.0</v>
      </c>
      <c r="C604" s="26">
        <v>420.0</v>
      </c>
      <c r="D604" s="16" t="s">
        <v>586</v>
      </c>
      <c r="E604" s="16"/>
    </row>
    <row r="605">
      <c r="A605" s="16" t="s">
        <v>187</v>
      </c>
      <c r="B605" s="72">
        <v>43769.0</v>
      </c>
      <c r="C605" s="26">
        <v>430.0</v>
      </c>
      <c r="D605" s="16" t="s">
        <v>586</v>
      </c>
      <c r="E605" s="16"/>
    </row>
    <row r="606">
      <c r="A606" s="16" t="s">
        <v>187</v>
      </c>
      <c r="B606" s="72">
        <v>43769.0</v>
      </c>
      <c r="C606" s="26">
        <v>350.0</v>
      </c>
      <c r="D606" s="16" t="s">
        <v>587</v>
      </c>
      <c r="E606" s="16"/>
    </row>
    <row r="607">
      <c r="A607" s="16" t="s">
        <v>187</v>
      </c>
      <c r="B607" s="72">
        <v>43769.0</v>
      </c>
      <c r="C607" s="26">
        <v>360.0</v>
      </c>
      <c r="D607" s="16" t="s">
        <v>587</v>
      </c>
      <c r="E607" s="16"/>
    </row>
    <row r="608">
      <c r="A608" s="16" t="s">
        <v>187</v>
      </c>
      <c r="B608" s="72">
        <v>43769.0</v>
      </c>
      <c r="C608" s="26">
        <v>370.0</v>
      </c>
      <c r="D608" s="16" t="s">
        <v>587</v>
      </c>
      <c r="E608" s="16"/>
    </row>
    <row r="609">
      <c r="A609" s="16" t="s">
        <v>187</v>
      </c>
      <c r="B609" s="72">
        <v>43769.0</v>
      </c>
      <c r="C609" s="26">
        <v>380.0</v>
      </c>
      <c r="D609" s="16" t="s">
        <v>587</v>
      </c>
      <c r="E609" s="16"/>
    </row>
    <row r="610">
      <c r="A610" s="16" t="s">
        <v>187</v>
      </c>
      <c r="B610" s="72">
        <v>43769.0</v>
      </c>
      <c r="C610" s="26">
        <v>390.0</v>
      </c>
      <c r="D610" s="16" t="s">
        <v>587</v>
      </c>
      <c r="E610" s="16"/>
    </row>
    <row r="611">
      <c r="A611" s="16" t="s">
        <v>187</v>
      </c>
      <c r="B611" s="72">
        <v>43797.0</v>
      </c>
      <c r="C611" s="26">
        <v>380.0</v>
      </c>
      <c r="D611" s="16" t="s">
        <v>586</v>
      </c>
      <c r="E611" s="16"/>
    </row>
    <row r="612">
      <c r="A612" s="16" t="s">
        <v>187</v>
      </c>
      <c r="B612" s="72">
        <v>43797.0</v>
      </c>
      <c r="C612" s="26">
        <v>390.0</v>
      </c>
      <c r="D612" s="16" t="s">
        <v>586</v>
      </c>
      <c r="E612" s="16"/>
    </row>
    <row r="613">
      <c r="A613" s="16" t="s">
        <v>187</v>
      </c>
      <c r="B613" s="72">
        <v>43797.0</v>
      </c>
      <c r="C613" s="26">
        <v>400.0</v>
      </c>
      <c r="D613" s="16" t="s">
        <v>586</v>
      </c>
      <c r="E613" s="16"/>
    </row>
    <row r="614">
      <c r="A614" s="16" t="s">
        <v>188</v>
      </c>
      <c r="B614" s="72">
        <v>43769.0</v>
      </c>
      <c r="C614" s="26">
        <v>2100.0</v>
      </c>
      <c r="D614" s="16" t="s">
        <v>586</v>
      </c>
      <c r="E614" s="16"/>
    </row>
    <row r="615">
      <c r="A615" s="16" t="s">
        <v>188</v>
      </c>
      <c r="B615" s="72">
        <v>43769.0</v>
      </c>
      <c r="C615" s="26">
        <v>2120.0</v>
      </c>
      <c r="D615" s="16" t="s">
        <v>586</v>
      </c>
      <c r="E615" s="16"/>
    </row>
    <row r="616">
      <c r="A616" s="16" t="s">
        <v>188</v>
      </c>
      <c r="B616" s="72">
        <v>43769.0</v>
      </c>
      <c r="C616" s="26">
        <v>2140.0</v>
      </c>
      <c r="D616" s="16" t="s">
        <v>586</v>
      </c>
      <c r="E616" s="16"/>
    </row>
    <row r="617">
      <c r="A617" s="16" t="s">
        <v>188</v>
      </c>
      <c r="B617" s="72">
        <v>43769.0</v>
      </c>
      <c r="C617" s="26">
        <v>2160.0</v>
      </c>
      <c r="D617" s="16" t="s">
        <v>586</v>
      </c>
      <c r="E617" s="16"/>
    </row>
    <row r="618">
      <c r="A618" s="16" t="s">
        <v>188</v>
      </c>
      <c r="B618" s="72">
        <v>43769.0</v>
      </c>
      <c r="C618" s="26">
        <v>2180.0</v>
      </c>
      <c r="D618" s="16" t="s">
        <v>586</v>
      </c>
      <c r="E618" s="16"/>
    </row>
    <row r="619">
      <c r="A619" s="16" t="s">
        <v>188</v>
      </c>
      <c r="B619" s="72">
        <v>43769.0</v>
      </c>
      <c r="C619" s="26">
        <v>2200.0</v>
      </c>
      <c r="D619" s="16" t="s">
        <v>586</v>
      </c>
      <c r="E619" s="16"/>
    </row>
    <row r="620">
      <c r="A620" s="16" t="s">
        <v>188</v>
      </c>
      <c r="B620" s="72">
        <v>43769.0</v>
      </c>
      <c r="C620" s="26">
        <v>2220.0</v>
      </c>
      <c r="D620" s="16" t="s">
        <v>586</v>
      </c>
      <c r="E620" s="16"/>
    </row>
    <row r="621">
      <c r="A621" s="16" t="s">
        <v>188</v>
      </c>
      <c r="B621" s="72">
        <v>43769.0</v>
      </c>
      <c r="C621" s="26">
        <v>2240.0</v>
      </c>
      <c r="D621" s="16" t="s">
        <v>586</v>
      </c>
      <c r="E621" s="16"/>
    </row>
    <row r="622">
      <c r="A622" s="16" t="s">
        <v>188</v>
      </c>
      <c r="B622" s="72">
        <v>43769.0</v>
      </c>
      <c r="C622" s="26">
        <v>2060.0</v>
      </c>
      <c r="D622" s="16" t="s">
        <v>587</v>
      </c>
      <c r="E622" s="16"/>
    </row>
    <row r="623">
      <c r="A623" s="16" t="s">
        <v>188</v>
      </c>
      <c r="B623" s="72">
        <v>43769.0</v>
      </c>
      <c r="C623" s="26">
        <v>2080.0</v>
      </c>
      <c r="D623" s="16" t="s">
        <v>587</v>
      </c>
      <c r="E623" s="16"/>
    </row>
    <row r="624">
      <c r="A624" s="16" t="s">
        <v>188</v>
      </c>
      <c r="B624" s="72">
        <v>43769.0</v>
      </c>
      <c r="C624" s="26">
        <v>2100.0</v>
      </c>
      <c r="D624" s="16" t="s">
        <v>587</v>
      </c>
      <c r="E624" s="16"/>
    </row>
    <row r="625">
      <c r="A625" s="16" t="s">
        <v>188</v>
      </c>
      <c r="B625" s="72">
        <v>43769.0</v>
      </c>
      <c r="C625" s="26">
        <v>2120.0</v>
      </c>
      <c r="D625" s="16" t="s">
        <v>587</v>
      </c>
      <c r="E625" s="16"/>
    </row>
    <row r="626">
      <c r="A626" s="16" t="s">
        <v>188</v>
      </c>
      <c r="B626" s="72">
        <v>43769.0</v>
      </c>
      <c r="C626" s="26">
        <v>2140.0</v>
      </c>
      <c r="D626" s="16" t="s">
        <v>587</v>
      </c>
      <c r="E626" s="16"/>
    </row>
    <row r="627">
      <c r="A627" s="16" t="s">
        <v>188</v>
      </c>
      <c r="B627" s="72">
        <v>43769.0</v>
      </c>
      <c r="C627" s="26">
        <v>2160.0</v>
      </c>
      <c r="D627" s="16" t="s">
        <v>587</v>
      </c>
      <c r="E627" s="16"/>
    </row>
    <row r="628">
      <c r="A628" s="16" t="s">
        <v>188</v>
      </c>
      <c r="B628" s="72">
        <v>43769.0</v>
      </c>
      <c r="C628" s="26">
        <v>2180.0</v>
      </c>
      <c r="D628" s="16" t="s">
        <v>587</v>
      </c>
      <c r="E628" s="16"/>
    </row>
    <row r="629">
      <c r="A629" s="16" t="s">
        <v>188</v>
      </c>
      <c r="B629" s="72">
        <v>43797.0</v>
      </c>
      <c r="C629" s="26">
        <v>2200.0</v>
      </c>
      <c r="D629" s="16" t="s">
        <v>586</v>
      </c>
      <c r="E629" s="16"/>
    </row>
    <row r="630">
      <c r="A630" s="16" t="s">
        <v>188</v>
      </c>
      <c r="B630" s="72">
        <v>43797.0</v>
      </c>
      <c r="C630" s="26">
        <v>2300.0</v>
      </c>
      <c r="D630" s="16" t="s">
        <v>586</v>
      </c>
      <c r="E630" s="16"/>
    </row>
    <row r="631">
      <c r="A631" s="16" t="s">
        <v>188</v>
      </c>
      <c r="B631" s="72">
        <v>43797.0</v>
      </c>
      <c r="C631" s="26">
        <v>2000.0</v>
      </c>
      <c r="D631" s="16" t="s">
        <v>587</v>
      </c>
      <c r="E631" s="16"/>
    </row>
    <row r="632">
      <c r="A632" s="16" t="s">
        <v>188</v>
      </c>
      <c r="B632" s="72">
        <v>43797.0</v>
      </c>
      <c r="C632" s="26">
        <v>2100.0</v>
      </c>
      <c r="D632" s="16" t="s">
        <v>587</v>
      </c>
      <c r="E632" s="16"/>
    </row>
    <row r="633">
      <c r="A633" s="16" t="s">
        <v>189</v>
      </c>
      <c r="B633" s="72">
        <v>43769.0</v>
      </c>
      <c r="C633" s="26">
        <v>740.0</v>
      </c>
      <c r="D633" s="16" t="s">
        <v>586</v>
      </c>
      <c r="E633" s="16"/>
    </row>
    <row r="634">
      <c r="A634" s="16" t="s">
        <v>189</v>
      </c>
      <c r="B634" s="72">
        <v>43769.0</v>
      </c>
      <c r="C634" s="26">
        <v>750.0</v>
      </c>
      <c r="D634" s="16" t="s">
        <v>586</v>
      </c>
      <c r="E634" s="16"/>
    </row>
    <row r="635">
      <c r="A635" s="16" t="s">
        <v>189</v>
      </c>
      <c r="B635" s="72">
        <v>43769.0</v>
      </c>
      <c r="C635" s="26">
        <v>760.0</v>
      </c>
      <c r="D635" s="16" t="s">
        <v>586</v>
      </c>
      <c r="E635" s="16"/>
    </row>
    <row r="636">
      <c r="A636" s="16" t="s">
        <v>189</v>
      </c>
      <c r="B636" s="75">
        <v>43769.0</v>
      </c>
      <c r="C636" s="26">
        <v>770.0</v>
      </c>
      <c r="D636" s="16" t="s">
        <v>586</v>
      </c>
      <c r="E636" s="16"/>
    </row>
    <row r="637">
      <c r="A637" s="16" t="s">
        <v>190</v>
      </c>
      <c r="B637" s="75">
        <v>43769.0</v>
      </c>
      <c r="C637" s="26">
        <v>1320.0</v>
      </c>
      <c r="D637" s="16" t="s">
        <v>586</v>
      </c>
      <c r="E637" s="16"/>
    </row>
    <row r="638">
      <c r="A638" s="16" t="s">
        <v>190</v>
      </c>
      <c r="B638" s="75">
        <v>43769.0</v>
      </c>
      <c r="C638" s="26">
        <v>1340.0</v>
      </c>
      <c r="D638" s="16" t="s">
        <v>586</v>
      </c>
      <c r="E638" s="16"/>
    </row>
    <row r="639">
      <c r="A639" s="16" t="s">
        <v>190</v>
      </c>
      <c r="B639" s="75">
        <v>43769.0</v>
      </c>
      <c r="C639" s="26">
        <v>1360.0</v>
      </c>
      <c r="D639" s="16" t="s">
        <v>586</v>
      </c>
      <c r="E639" s="16"/>
    </row>
    <row r="640">
      <c r="A640" s="16" t="s">
        <v>190</v>
      </c>
      <c r="B640" s="75">
        <v>43769.0</v>
      </c>
      <c r="C640" s="26">
        <v>1380.0</v>
      </c>
      <c r="D640" s="16" t="s">
        <v>586</v>
      </c>
      <c r="E640" s="16"/>
    </row>
    <row r="641">
      <c r="A641" s="16" t="s">
        <v>190</v>
      </c>
      <c r="B641" s="75">
        <v>43769.0</v>
      </c>
      <c r="C641" s="26">
        <v>1400.0</v>
      </c>
      <c r="D641" s="16" t="s">
        <v>586</v>
      </c>
      <c r="E641" s="16"/>
    </row>
    <row r="642">
      <c r="A642" s="16" t="s">
        <v>190</v>
      </c>
      <c r="B642" s="75">
        <v>43769.0</v>
      </c>
      <c r="C642" s="26">
        <v>1260.0</v>
      </c>
      <c r="D642" s="16" t="s">
        <v>587</v>
      </c>
      <c r="E642" s="16"/>
    </row>
    <row r="643">
      <c r="A643" s="16" t="s">
        <v>190</v>
      </c>
      <c r="B643" s="75">
        <v>43769.0</v>
      </c>
      <c r="C643" s="26">
        <v>1280.0</v>
      </c>
      <c r="D643" s="16" t="s">
        <v>587</v>
      </c>
      <c r="E643" s="16"/>
    </row>
    <row r="644">
      <c r="A644" s="16" t="s">
        <v>190</v>
      </c>
      <c r="B644" s="75">
        <v>43769.0</v>
      </c>
      <c r="C644" s="26">
        <v>1300.0</v>
      </c>
      <c r="D644" s="16" t="s">
        <v>587</v>
      </c>
      <c r="E644" s="16"/>
    </row>
    <row r="645">
      <c r="A645" s="16" t="s">
        <v>190</v>
      </c>
      <c r="B645" s="75">
        <v>43769.0</v>
      </c>
      <c r="C645" s="26">
        <v>1320.0</v>
      </c>
      <c r="D645" s="16" t="s">
        <v>587</v>
      </c>
      <c r="E645" s="16"/>
    </row>
    <row r="646">
      <c r="A646" s="16" t="s">
        <v>193</v>
      </c>
      <c r="B646" s="75">
        <v>43769.0</v>
      </c>
      <c r="C646" s="26">
        <v>470.0</v>
      </c>
      <c r="D646" s="16" t="s">
        <v>586</v>
      </c>
      <c r="E646" s="16"/>
    </row>
    <row r="647">
      <c r="A647" s="16" t="s">
        <v>193</v>
      </c>
      <c r="B647" s="75">
        <v>43769.0</v>
      </c>
      <c r="C647" s="26">
        <v>480.0</v>
      </c>
      <c r="D647" s="16" t="s">
        <v>586</v>
      </c>
      <c r="E647" s="16"/>
    </row>
    <row r="648">
      <c r="A648" s="16" t="s">
        <v>195</v>
      </c>
      <c r="B648" s="75">
        <v>43769.0</v>
      </c>
      <c r="C648" s="26">
        <v>280.0</v>
      </c>
      <c r="D648" s="16" t="s">
        <v>586</v>
      </c>
      <c r="E648" s="16"/>
    </row>
    <row r="649">
      <c r="A649" s="16" t="s">
        <v>198</v>
      </c>
      <c r="B649" s="75">
        <v>43769.0</v>
      </c>
      <c r="C649" s="26">
        <v>600.0</v>
      </c>
      <c r="D649" s="16" t="s">
        <v>586</v>
      </c>
      <c r="E649" s="16"/>
    </row>
    <row r="650">
      <c r="A650" s="16" t="s">
        <v>198</v>
      </c>
      <c r="B650" s="75">
        <v>43769.0</v>
      </c>
      <c r="C650" s="26">
        <v>610.0</v>
      </c>
      <c r="D650" s="16" t="s">
        <v>586</v>
      </c>
      <c r="E650" s="16"/>
    </row>
    <row r="651">
      <c r="A651" s="16" t="s">
        <v>199</v>
      </c>
      <c r="B651" s="75">
        <v>43769.0</v>
      </c>
      <c r="C651" s="26">
        <v>150.0</v>
      </c>
      <c r="D651" s="16" t="s">
        <v>586</v>
      </c>
      <c r="E651" s="16"/>
    </row>
    <row r="652">
      <c r="A652" s="16" t="s">
        <v>199</v>
      </c>
      <c r="B652" s="75">
        <v>43769.0</v>
      </c>
      <c r="C652" s="26">
        <v>155.0</v>
      </c>
      <c r="D652" s="16" t="s">
        <v>586</v>
      </c>
      <c r="E652" s="16"/>
    </row>
    <row r="653">
      <c r="A653" s="16" t="s">
        <v>199</v>
      </c>
      <c r="B653" s="75">
        <v>43769.0</v>
      </c>
      <c r="C653" s="26">
        <v>160.0</v>
      </c>
      <c r="D653" s="16" t="s">
        <v>586</v>
      </c>
      <c r="E653" s="16"/>
    </row>
    <row r="654">
      <c r="A654" s="16" t="s">
        <v>199</v>
      </c>
      <c r="B654" s="75">
        <v>43769.0</v>
      </c>
      <c r="C654" s="26">
        <v>145.0</v>
      </c>
      <c r="D654" s="16" t="s">
        <v>587</v>
      </c>
      <c r="E654" s="16"/>
    </row>
    <row r="655">
      <c r="A655" s="16" t="s">
        <v>199</v>
      </c>
      <c r="B655" s="75">
        <v>43769.0</v>
      </c>
      <c r="C655" s="26">
        <v>150.0</v>
      </c>
      <c r="D655" s="16" t="s">
        <v>587</v>
      </c>
      <c r="E655" s="16"/>
    </row>
    <row r="656">
      <c r="A656" s="16" t="s">
        <v>200</v>
      </c>
      <c r="B656" s="75">
        <v>43769.0</v>
      </c>
      <c r="C656" s="26">
        <v>720.0</v>
      </c>
      <c r="D656" s="16" t="s">
        <v>586</v>
      </c>
      <c r="E656" s="16"/>
    </row>
    <row r="657">
      <c r="A657" s="16" t="s">
        <v>202</v>
      </c>
      <c r="B657" s="75">
        <v>43769.0</v>
      </c>
      <c r="C657" s="26">
        <v>40.0</v>
      </c>
      <c r="D657" s="16" t="s">
        <v>586</v>
      </c>
      <c r="E657" s="16"/>
    </row>
    <row r="658">
      <c r="A658" s="16" t="s">
        <v>202</v>
      </c>
      <c r="B658" s="75">
        <v>43769.0</v>
      </c>
      <c r="C658" s="26">
        <v>45.0</v>
      </c>
      <c r="D658" s="16" t="s">
        <v>586</v>
      </c>
      <c r="E658" s="16"/>
    </row>
    <row r="659">
      <c r="A659" s="16" t="s">
        <v>202</v>
      </c>
      <c r="B659" s="75">
        <v>43769.0</v>
      </c>
      <c r="C659" s="26">
        <v>50.0</v>
      </c>
      <c r="D659" s="16" t="s">
        <v>586</v>
      </c>
      <c r="E659" s="16"/>
    </row>
    <row r="660">
      <c r="A660" s="16" t="s">
        <v>202</v>
      </c>
      <c r="B660" s="75">
        <v>43769.0</v>
      </c>
      <c r="C660" s="26">
        <v>55.0</v>
      </c>
      <c r="D660" s="16" t="s">
        <v>586</v>
      </c>
      <c r="E660" s="16"/>
    </row>
    <row r="661">
      <c r="A661" s="16" t="s">
        <v>202</v>
      </c>
      <c r="B661" s="75">
        <v>43769.0</v>
      </c>
      <c r="C661" s="26">
        <v>60.0</v>
      </c>
      <c r="D661" s="16" t="s">
        <v>586</v>
      </c>
      <c r="E661" s="16"/>
    </row>
    <row r="662">
      <c r="A662" s="16" t="s">
        <v>202</v>
      </c>
      <c r="B662" s="75">
        <v>43769.0</v>
      </c>
      <c r="C662" s="26">
        <v>65.0</v>
      </c>
      <c r="D662" s="16" t="s">
        <v>586</v>
      </c>
      <c r="E662" s="16"/>
    </row>
    <row r="663">
      <c r="A663" s="16" t="s">
        <v>202</v>
      </c>
      <c r="B663" s="75">
        <v>43769.0</v>
      </c>
      <c r="C663" s="26">
        <v>70.0</v>
      </c>
      <c r="D663" s="16" t="s">
        <v>586</v>
      </c>
      <c r="E663" s="16"/>
    </row>
    <row r="664">
      <c r="A664" s="16" t="s">
        <v>202</v>
      </c>
      <c r="B664" s="75">
        <v>43769.0</v>
      </c>
      <c r="C664" s="26">
        <v>75.0</v>
      </c>
      <c r="D664" s="16" t="s">
        <v>586</v>
      </c>
      <c r="E664" s="16"/>
    </row>
    <row r="665">
      <c r="A665" s="16" t="s">
        <v>202</v>
      </c>
      <c r="B665" s="75">
        <v>43769.0</v>
      </c>
      <c r="C665" s="26">
        <v>80.0</v>
      </c>
      <c r="D665" s="16" t="s">
        <v>586</v>
      </c>
      <c r="E665" s="16"/>
    </row>
    <row r="666">
      <c r="A666" s="16" t="s">
        <v>202</v>
      </c>
      <c r="B666" s="75">
        <v>43769.0</v>
      </c>
      <c r="C666" s="26">
        <v>100.0</v>
      </c>
      <c r="D666" s="16" t="s">
        <v>586</v>
      </c>
      <c r="E666" s="16"/>
    </row>
    <row r="667">
      <c r="A667" s="16" t="s">
        <v>202</v>
      </c>
      <c r="B667" s="75">
        <v>43769.0</v>
      </c>
      <c r="C667" s="26">
        <v>30.0</v>
      </c>
      <c r="D667" s="16" t="s">
        <v>587</v>
      </c>
      <c r="E667" s="16"/>
    </row>
    <row r="668">
      <c r="A668" s="16" t="s">
        <v>202</v>
      </c>
      <c r="B668" s="75">
        <v>43769.0</v>
      </c>
      <c r="C668" s="26">
        <v>40.0</v>
      </c>
      <c r="D668" s="16" t="s">
        <v>587</v>
      </c>
      <c r="E668" s="16"/>
    </row>
    <row r="669">
      <c r="A669" s="16" t="s">
        <v>202</v>
      </c>
      <c r="B669" s="75">
        <v>43769.0</v>
      </c>
      <c r="C669" s="26">
        <v>45.0</v>
      </c>
      <c r="D669" s="16" t="s">
        <v>587</v>
      </c>
      <c r="E669" s="16"/>
    </row>
    <row r="670">
      <c r="A670" s="16" t="s">
        <v>202</v>
      </c>
      <c r="B670" s="75">
        <v>43769.0</v>
      </c>
      <c r="C670" s="26">
        <v>50.0</v>
      </c>
      <c r="D670" s="16" t="s">
        <v>587</v>
      </c>
      <c r="E670" s="16"/>
    </row>
    <row r="671">
      <c r="A671" s="16" t="s">
        <v>202</v>
      </c>
      <c r="B671" s="75">
        <v>43769.0</v>
      </c>
      <c r="C671" s="26">
        <v>55.0</v>
      </c>
      <c r="D671" s="16" t="s">
        <v>587</v>
      </c>
      <c r="E671" s="16"/>
    </row>
    <row r="672">
      <c r="A672" s="16" t="s">
        <v>202</v>
      </c>
      <c r="B672" s="75">
        <v>43769.0</v>
      </c>
      <c r="C672" s="26">
        <v>60.0</v>
      </c>
      <c r="D672" s="16" t="s">
        <v>587</v>
      </c>
      <c r="E672" s="16"/>
    </row>
    <row r="673">
      <c r="A673" s="16" t="s">
        <v>202</v>
      </c>
      <c r="B673" s="75">
        <v>43797.0</v>
      </c>
      <c r="C673" s="26">
        <v>50.0</v>
      </c>
      <c r="D673" s="16" t="s">
        <v>586</v>
      </c>
      <c r="E673" s="16"/>
    </row>
    <row r="674">
      <c r="A674" s="16" t="s">
        <v>202</v>
      </c>
      <c r="B674" s="75">
        <v>43797.0</v>
      </c>
      <c r="C674" s="26">
        <v>55.0</v>
      </c>
      <c r="D674" s="16" t="s">
        <v>586</v>
      </c>
      <c r="E674" s="16"/>
    </row>
    <row r="675">
      <c r="A675" s="16" t="s">
        <v>202</v>
      </c>
      <c r="B675" s="75">
        <v>43797.0</v>
      </c>
      <c r="C675" s="26">
        <v>60.0</v>
      </c>
      <c r="D675" s="16" t="s">
        <v>586</v>
      </c>
      <c r="E675" s="16"/>
    </row>
    <row r="676">
      <c r="A676" s="16" t="s">
        <v>202</v>
      </c>
      <c r="B676" s="75">
        <v>43797.0</v>
      </c>
      <c r="C676" s="26">
        <v>65.0</v>
      </c>
      <c r="D676" s="16" t="s">
        <v>586</v>
      </c>
      <c r="E676" s="16"/>
    </row>
    <row r="677">
      <c r="A677" s="16" t="s">
        <v>202</v>
      </c>
      <c r="B677" s="75">
        <v>43797.0</v>
      </c>
      <c r="C677" s="26">
        <v>70.0</v>
      </c>
      <c r="D677" s="16" t="s">
        <v>586</v>
      </c>
      <c r="E677" s="16"/>
    </row>
    <row r="678">
      <c r="A678" s="16" t="s">
        <v>202</v>
      </c>
      <c r="B678" s="75">
        <v>43797.0</v>
      </c>
      <c r="C678" s="26">
        <v>75.0</v>
      </c>
      <c r="D678" s="16" t="s">
        <v>586</v>
      </c>
      <c r="E678" s="16"/>
    </row>
    <row r="679">
      <c r="A679" s="16" t="s">
        <v>202</v>
      </c>
      <c r="B679" s="75">
        <v>43797.0</v>
      </c>
      <c r="C679" s="26">
        <v>80.0</v>
      </c>
      <c r="D679" s="16" t="s">
        <v>586</v>
      </c>
      <c r="E679" s="16"/>
    </row>
    <row r="680">
      <c r="A680" s="16" t="s">
        <v>202</v>
      </c>
      <c r="B680" s="75">
        <v>43797.0</v>
      </c>
      <c r="C680" s="26">
        <v>40.0</v>
      </c>
      <c r="D680" s="16" t="s">
        <v>587</v>
      </c>
      <c r="E680" s="16"/>
    </row>
    <row r="681">
      <c r="A681" s="16" t="s">
        <v>202</v>
      </c>
      <c r="B681" s="75">
        <v>43797.0</v>
      </c>
      <c r="C681" s="26">
        <v>45.0</v>
      </c>
      <c r="D681" s="16" t="s">
        <v>587</v>
      </c>
      <c r="E681" s="16"/>
    </row>
    <row r="682">
      <c r="A682" s="16" t="s">
        <v>202</v>
      </c>
      <c r="B682" s="75">
        <v>43797.0</v>
      </c>
      <c r="C682" s="26">
        <v>50.0</v>
      </c>
      <c r="D682" s="16" t="s">
        <v>587</v>
      </c>
      <c r="E682" s="16"/>
    </row>
    <row r="683">
      <c r="A683" s="16" t="s">
        <v>202</v>
      </c>
      <c r="B683" s="75">
        <v>43797.0</v>
      </c>
      <c r="C683" s="26">
        <v>55.0</v>
      </c>
      <c r="D683" s="16" t="s">
        <v>587</v>
      </c>
      <c r="E683" s="16"/>
    </row>
    <row r="684">
      <c r="A684" s="16" t="s">
        <v>202</v>
      </c>
      <c r="B684" s="75">
        <v>43797.0</v>
      </c>
      <c r="C684" s="26">
        <v>60.0</v>
      </c>
      <c r="D684" s="16" t="s">
        <v>587</v>
      </c>
      <c r="E684" s="16"/>
    </row>
    <row r="685">
      <c r="A685" s="16" t="s">
        <v>203</v>
      </c>
      <c r="B685" s="75">
        <v>43769.0</v>
      </c>
      <c r="C685" s="26">
        <v>240.0</v>
      </c>
      <c r="D685" s="16" t="s">
        <v>586</v>
      </c>
      <c r="E685" s="16"/>
    </row>
    <row r="686">
      <c r="A686" s="16" t="s">
        <v>203</v>
      </c>
      <c r="B686" s="75">
        <v>43769.0</v>
      </c>
      <c r="C686" s="26">
        <v>250.0</v>
      </c>
      <c r="D686" s="16" t="s">
        <v>586</v>
      </c>
      <c r="E686" s="16"/>
    </row>
    <row r="687">
      <c r="A687" s="16" t="s">
        <v>203</v>
      </c>
      <c r="B687" s="75">
        <v>43769.0</v>
      </c>
      <c r="C687" s="26">
        <v>260.0</v>
      </c>
      <c r="D687" s="16" t="s">
        <v>586</v>
      </c>
      <c r="E687" s="16"/>
    </row>
    <row r="688">
      <c r="A688" s="16"/>
      <c r="B688" s="75"/>
      <c r="C688" s="26"/>
      <c r="D688" s="16"/>
      <c r="E688" s="16"/>
    </row>
    <row r="689">
      <c r="A689" s="16"/>
      <c r="B689" s="75"/>
      <c r="C689" s="26"/>
      <c r="D689" s="16"/>
      <c r="E689" s="16"/>
    </row>
    <row r="690">
      <c r="A690" s="16"/>
      <c r="B690" s="75"/>
      <c r="C690" s="26"/>
      <c r="D690" s="16"/>
      <c r="E690" s="16"/>
    </row>
    <row r="691">
      <c r="A691" s="16"/>
      <c r="B691" s="75"/>
      <c r="C691" s="26"/>
      <c r="D691" s="16"/>
      <c r="E691" s="16"/>
    </row>
    <row r="692">
      <c r="A692" s="16"/>
      <c r="B692" s="75"/>
      <c r="C692" s="26"/>
      <c r="D692" s="16"/>
      <c r="E692" s="16"/>
    </row>
    <row r="693">
      <c r="A693" s="16"/>
      <c r="B693" s="75"/>
      <c r="C693" s="26"/>
      <c r="D693" s="16"/>
      <c r="E693" s="16"/>
    </row>
    <row r="694">
      <c r="A694" s="16"/>
      <c r="B694" s="75"/>
      <c r="C694" s="26"/>
      <c r="D694" s="16"/>
      <c r="E694" s="16"/>
    </row>
    <row r="695">
      <c r="A695" s="16"/>
      <c r="B695" s="75"/>
      <c r="C695" s="26"/>
      <c r="D695" s="16"/>
      <c r="E695" s="16"/>
    </row>
    <row r="696">
      <c r="A696" s="16"/>
      <c r="B696" s="75"/>
      <c r="C696" s="26"/>
      <c r="D696" s="16"/>
      <c r="E696" s="16"/>
    </row>
    <row r="697">
      <c r="A697" s="16"/>
      <c r="B697" s="75"/>
      <c r="C697" s="26"/>
      <c r="D697" s="16"/>
      <c r="E697" s="16"/>
    </row>
    <row r="698">
      <c r="A698" s="16"/>
      <c r="B698" s="75"/>
      <c r="C698" s="26"/>
      <c r="D698" s="16"/>
      <c r="E698" s="16"/>
    </row>
    <row r="699">
      <c r="A699" s="16"/>
      <c r="B699" s="75"/>
      <c r="C699" s="26"/>
      <c r="D699" s="16"/>
      <c r="E699" s="16"/>
    </row>
    <row r="700">
      <c r="A700" s="16"/>
      <c r="B700" s="75"/>
      <c r="C700" s="26"/>
      <c r="D700" s="16"/>
      <c r="E700" s="16"/>
    </row>
    <row r="701">
      <c r="A701" s="16"/>
      <c r="B701" s="75"/>
      <c r="C701" s="26"/>
      <c r="D701" s="16"/>
      <c r="E701" s="16"/>
    </row>
    <row r="702">
      <c r="A702" s="16"/>
      <c r="B702" s="75"/>
      <c r="C702" s="26"/>
      <c r="D702" s="16"/>
      <c r="E702" s="16"/>
    </row>
    <row r="703">
      <c r="A703" s="16"/>
      <c r="B703" s="75"/>
      <c r="C703" s="26"/>
      <c r="D703" s="16"/>
      <c r="E703" s="16"/>
    </row>
    <row r="704">
      <c r="A704" s="16"/>
      <c r="B704" s="75"/>
      <c r="C704" s="26"/>
      <c r="D704" s="16"/>
      <c r="E704" s="16"/>
    </row>
    <row r="705">
      <c r="A705" s="16"/>
      <c r="B705" s="75"/>
      <c r="C705" s="26"/>
      <c r="D705" s="16"/>
      <c r="E705" s="16"/>
    </row>
    <row r="706">
      <c r="A706" s="16"/>
      <c r="B706" s="75"/>
      <c r="C706" s="26"/>
      <c r="D706" s="16"/>
      <c r="E706" s="16"/>
    </row>
    <row r="707">
      <c r="A707" s="16"/>
      <c r="B707" s="75"/>
      <c r="C707" s="26"/>
      <c r="D707" s="16"/>
      <c r="E707" s="16"/>
    </row>
    <row r="708">
      <c r="A708" s="16"/>
      <c r="B708" s="75"/>
      <c r="C708" s="26"/>
      <c r="D708" s="16"/>
      <c r="E708" s="16"/>
    </row>
    <row r="709">
      <c r="A709" s="16"/>
      <c r="B709" s="75"/>
      <c r="C709" s="26"/>
      <c r="D709" s="16"/>
      <c r="E709" s="16"/>
    </row>
    <row r="710">
      <c r="A710" s="16"/>
      <c r="B710" s="75"/>
      <c r="C710" s="26"/>
      <c r="D710" s="16"/>
      <c r="E710" s="16"/>
    </row>
    <row r="711">
      <c r="A711" s="16"/>
      <c r="B711" s="75"/>
      <c r="C711" s="26"/>
      <c r="D711" s="16"/>
      <c r="E711" s="16"/>
    </row>
    <row r="712">
      <c r="A712" s="16"/>
      <c r="B712" s="75"/>
      <c r="C712" s="26"/>
      <c r="D712" s="16"/>
      <c r="E712" s="16"/>
    </row>
    <row r="713">
      <c r="A713" s="16"/>
      <c r="B713" s="75"/>
      <c r="C713" s="26"/>
      <c r="D713" s="16"/>
      <c r="E713" s="16"/>
    </row>
    <row r="714">
      <c r="A714" s="16"/>
      <c r="B714" s="75"/>
      <c r="C714" s="26"/>
      <c r="D714" s="16"/>
      <c r="E714" s="16"/>
    </row>
    <row r="715">
      <c r="A715" s="16"/>
      <c r="B715" s="75"/>
      <c r="C715" s="26"/>
      <c r="D715" s="16"/>
      <c r="E715" s="16"/>
    </row>
    <row r="716">
      <c r="A716" s="16"/>
      <c r="B716" s="75"/>
      <c r="C716" s="26"/>
      <c r="D716" s="16"/>
      <c r="E716" s="16"/>
    </row>
    <row r="717">
      <c r="A717" s="16"/>
      <c r="B717" s="75"/>
      <c r="C717" s="26"/>
      <c r="D717" s="16"/>
      <c r="E717" s="16"/>
    </row>
    <row r="718">
      <c r="A718" s="16"/>
      <c r="B718" s="75"/>
      <c r="C718" s="26"/>
      <c r="D718" s="16"/>
      <c r="E718" s="16"/>
    </row>
    <row r="719">
      <c r="A719" s="16"/>
      <c r="B719" s="75"/>
      <c r="C719" s="26"/>
      <c r="D719" s="16"/>
      <c r="E719" s="16"/>
    </row>
    <row r="720">
      <c r="A720" s="16"/>
      <c r="B720" s="75"/>
      <c r="C720" s="26"/>
      <c r="D720" s="16"/>
      <c r="E720" s="16"/>
    </row>
    <row r="721">
      <c r="A721" s="16"/>
      <c r="B721" s="75"/>
      <c r="C721" s="26"/>
      <c r="D721" s="16"/>
      <c r="E721" s="16"/>
    </row>
    <row r="722">
      <c r="A722" s="16"/>
      <c r="B722" s="75"/>
      <c r="C722" s="26"/>
      <c r="D722" s="16"/>
      <c r="E722" s="16"/>
    </row>
    <row r="723">
      <c r="A723" s="16"/>
      <c r="B723" s="75"/>
      <c r="C723" s="26"/>
      <c r="D723" s="16"/>
      <c r="E723" s="16"/>
    </row>
    <row r="724">
      <c r="A724" s="16"/>
      <c r="B724" s="75"/>
      <c r="C724" s="26"/>
      <c r="D724" s="16"/>
      <c r="E724" s="16"/>
    </row>
    <row r="725">
      <c r="A725" s="16"/>
      <c r="B725" s="75"/>
      <c r="C725" s="26"/>
      <c r="D725" s="16"/>
      <c r="E725" s="16"/>
    </row>
    <row r="726">
      <c r="A726" s="16"/>
      <c r="B726" s="75"/>
      <c r="C726" s="26"/>
      <c r="D726" s="16"/>
      <c r="E726" s="16"/>
    </row>
    <row r="727">
      <c r="A727" s="16"/>
      <c r="B727" s="75"/>
      <c r="C727" s="26"/>
      <c r="D727" s="16"/>
      <c r="E727" s="16"/>
    </row>
    <row r="728">
      <c r="A728" s="16"/>
      <c r="B728" s="75"/>
      <c r="C728" s="26"/>
      <c r="D728" s="16"/>
      <c r="E728" s="16"/>
    </row>
    <row r="729">
      <c r="A729" s="16"/>
      <c r="B729" s="75"/>
      <c r="C729" s="26"/>
      <c r="D729" s="16"/>
      <c r="E729" s="16"/>
    </row>
    <row r="730">
      <c r="A730" s="16"/>
      <c r="B730" s="75"/>
      <c r="C730" s="26"/>
      <c r="D730" s="16"/>
      <c r="E730" s="16"/>
    </row>
    <row r="731">
      <c r="A731" s="16"/>
      <c r="B731" s="75"/>
      <c r="C731" s="26"/>
      <c r="D731" s="16"/>
      <c r="E731" s="16"/>
    </row>
    <row r="732">
      <c r="A732" s="16"/>
      <c r="B732" s="75"/>
      <c r="C732" s="26"/>
      <c r="D732" s="16"/>
      <c r="E732" s="16"/>
    </row>
    <row r="733">
      <c r="A733" s="16"/>
      <c r="B733" s="75"/>
      <c r="C733" s="26"/>
      <c r="D733" s="16"/>
      <c r="E733" s="16"/>
    </row>
    <row r="734">
      <c r="A734" s="16"/>
      <c r="B734" s="75"/>
      <c r="C734" s="26"/>
      <c r="D734" s="16"/>
      <c r="E734" s="16"/>
    </row>
    <row r="735">
      <c r="A735" s="16"/>
      <c r="B735" s="75"/>
      <c r="C735" s="26"/>
      <c r="D735" s="16"/>
      <c r="E735" s="16"/>
    </row>
    <row r="736">
      <c r="A736" s="16"/>
      <c r="B736" s="75"/>
      <c r="C736" s="26"/>
      <c r="D736" s="16"/>
      <c r="E736" s="16"/>
    </row>
    <row r="737">
      <c r="A737" s="16"/>
      <c r="B737" s="75"/>
      <c r="C737" s="26"/>
      <c r="D737" s="16"/>
      <c r="E737" s="16"/>
    </row>
    <row r="738">
      <c r="A738" s="16"/>
      <c r="B738" s="75"/>
      <c r="C738" s="26"/>
      <c r="D738" s="16"/>
      <c r="E738" s="16"/>
    </row>
    <row r="739">
      <c r="A739" s="16"/>
      <c r="B739" s="75"/>
      <c r="C739" s="26"/>
      <c r="D739" s="16"/>
      <c r="E739" s="16"/>
    </row>
    <row r="740">
      <c r="A740" s="16"/>
      <c r="B740" s="75"/>
      <c r="C740" s="26"/>
      <c r="D740" s="16"/>
      <c r="E740" s="16"/>
    </row>
    <row r="741">
      <c r="A741" s="16"/>
      <c r="B741" s="75"/>
      <c r="C741" s="26"/>
      <c r="D741" s="16"/>
      <c r="E741" s="16"/>
    </row>
    <row r="742">
      <c r="A742" s="16"/>
      <c r="B742" s="75"/>
      <c r="C742" s="26"/>
      <c r="D742" s="16"/>
      <c r="E742" s="16"/>
    </row>
    <row r="743">
      <c r="A743" s="16"/>
      <c r="B743" s="75"/>
      <c r="C743" s="26"/>
      <c r="D743" s="16"/>
      <c r="E743" s="16"/>
    </row>
    <row r="744">
      <c r="A744" s="16"/>
      <c r="B744" s="75"/>
      <c r="C744" s="26"/>
      <c r="D744" s="16"/>
      <c r="E744" s="16"/>
    </row>
    <row r="745">
      <c r="A745" s="16"/>
      <c r="B745" s="75"/>
      <c r="C745" s="26"/>
      <c r="D745" s="16"/>
      <c r="E745" s="16"/>
    </row>
    <row r="746">
      <c r="A746" s="16"/>
      <c r="B746" s="75"/>
      <c r="C746" s="26"/>
      <c r="D746" s="16"/>
      <c r="E746" s="16"/>
    </row>
    <row r="747">
      <c r="A747" s="16"/>
      <c r="B747" s="75"/>
      <c r="C747" s="26"/>
      <c r="D747" s="16"/>
      <c r="E747" s="16"/>
    </row>
    <row r="748">
      <c r="A748" s="16"/>
      <c r="B748" s="75"/>
      <c r="C748" s="26"/>
      <c r="D748" s="16"/>
      <c r="E748" s="16"/>
    </row>
    <row r="749">
      <c r="A749" s="16"/>
      <c r="B749" s="75"/>
      <c r="C749" s="26"/>
      <c r="D749" s="16"/>
      <c r="E749" s="16"/>
    </row>
    <row r="750">
      <c r="A750" s="16"/>
      <c r="B750" s="75"/>
      <c r="C750" s="26"/>
      <c r="D750" s="16"/>
      <c r="E750" s="16"/>
    </row>
    <row r="751">
      <c r="A751" s="16"/>
      <c r="B751" s="75"/>
      <c r="C751" s="26"/>
      <c r="D751" s="16"/>
      <c r="E751" s="16"/>
    </row>
    <row r="752">
      <c r="A752" s="16"/>
      <c r="B752" s="75"/>
      <c r="C752" s="26"/>
      <c r="D752" s="16"/>
      <c r="E752" s="16"/>
    </row>
    <row r="753">
      <c r="A753" s="16"/>
      <c r="B753" s="75"/>
      <c r="C753" s="26"/>
      <c r="D753" s="16"/>
      <c r="E753" s="16"/>
    </row>
    <row r="754">
      <c r="A754" s="16"/>
      <c r="B754" s="75"/>
      <c r="C754" s="26"/>
      <c r="D754" s="16"/>
      <c r="E754" s="16"/>
    </row>
    <row r="755">
      <c r="A755" s="16"/>
      <c r="B755" s="75"/>
      <c r="C755" s="26"/>
      <c r="D755" s="16"/>
      <c r="E755" s="16"/>
    </row>
    <row r="756">
      <c r="A756" s="16"/>
      <c r="B756" s="75"/>
      <c r="C756" s="26"/>
      <c r="D756" s="16"/>
      <c r="E756" s="16"/>
    </row>
    <row r="757">
      <c r="A757" s="16"/>
      <c r="B757" s="75"/>
      <c r="C757" s="26"/>
      <c r="D757" s="16"/>
      <c r="E757" s="16"/>
    </row>
    <row r="758">
      <c r="A758" s="16"/>
      <c r="B758" s="75"/>
      <c r="C758" s="26"/>
      <c r="D758" s="16"/>
      <c r="E758" s="16"/>
    </row>
    <row r="759">
      <c r="A759" s="16"/>
      <c r="B759" s="75"/>
      <c r="C759" s="26"/>
      <c r="D759" s="16"/>
      <c r="E759" s="16"/>
    </row>
    <row r="760">
      <c r="A760" s="16"/>
      <c r="B760" s="75"/>
      <c r="C760" s="26"/>
      <c r="D760" s="16"/>
      <c r="E760" s="16"/>
    </row>
    <row r="761">
      <c r="A761" s="16"/>
      <c r="B761" s="75"/>
      <c r="C761" s="26"/>
      <c r="D761" s="16"/>
      <c r="E761" s="16"/>
    </row>
    <row r="762">
      <c r="A762" s="16"/>
      <c r="B762" s="75"/>
      <c r="C762" s="26"/>
      <c r="D762" s="16"/>
      <c r="E762" s="16"/>
    </row>
    <row r="763">
      <c r="A763" s="16"/>
      <c r="B763" s="75"/>
      <c r="C763" s="26"/>
      <c r="D763" s="16"/>
      <c r="E763" s="16"/>
    </row>
    <row r="764">
      <c r="A764" s="16"/>
      <c r="B764" s="75"/>
      <c r="C764" s="26"/>
      <c r="D764" s="16"/>
      <c r="E764" s="16"/>
    </row>
    <row r="765">
      <c r="A765" s="16"/>
      <c r="B765" s="75"/>
      <c r="C765" s="26"/>
      <c r="D765" s="16"/>
      <c r="E765" s="16"/>
    </row>
    <row r="766">
      <c r="A766" s="16"/>
      <c r="B766" s="75"/>
      <c r="C766" s="26"/>
      <c r="D766" s="16"/>
      <c r="E766" s="16"/>
    </row>
    <row r="767">
      <c r="A767" s="16"/>
      <c r="B767" s="75"/>
      <c r="C767" s="26"/>
      <c r="D767" s="16"/>
      <c r="E767" s="16"/>
    </row>
    <row r="768">
      <c r="A768" s="16"/>
      <c r="B768" s="75"/>
      <c r="C768" s="26"/>
      <c r="D768" s="16"/>
      <c r="E768" s="16"/>
    </row>
    <row r="769">
      <c r="A769" s="16"/>
      <c r="B769" s="75"/>
      <c r="C769" s="26"/>
      <c r="D769" s="16"/>
      <c r="E769" s="16"/>
    </row>
    <row r="770">
      <c r="A770" s="16"/>
      <c r="B770" s="75"/>
      <c r="C770" s="26"/>
      <c r="D770" s="16"/>
      <c r="E770" s="16"/>
    </row>
    <row r="771">
      <c r="A771" s="16"/>
      <c r="B771" s="75"/>
      <c r="C771" s="26"/>
      <c r="D771" s="16"/>
      <c r="E771" s="16"/>
    </row>
    <row r="772">
      <c r="A772" s="16"/>
      <c r="B772" s="75"/>
      <c r="C772" s="26"/>
      <c r="D772" s="16"/>
      <c r="E772" s="16"/>
    </row>
    <row r="773">
      <c r="A773" s="16"/>
      <c r="B773" s="75"/>
      <c r="C773" s="26"/>
      <c r="D773" s="16"/>
      <c r="E773" s="16"/>
    </row>
    <row r="774">
      <c r="A774" s="16"/>
      <c r="B774" s="75"/>
      <c r="C774" s="26"/>
      <c r="D774" s="16"/>
      <c r="E774" s="16"/>
    </row>
    <row r="775">
      <c r="A775" s="16"/>
      <c r="B775" s="75"/>
      <c r="C775" s="26"/>
      <c r="D775" s="16"/>
      <c r="E775" s="16"/>
    </row>
    <row r="776">
      <c r="A776" s="16"/>
      <c r="B776" s="75"/>
      <c r="C776" s="26"/>
      <c r="D776" s="16"/>
      <c r="E776" s="16"/>
    </row>
    <row r="777">
      <c r="A777" s="16"/>
      <c r="B777" s="75"/>
      <c r="C777" s="26"/>
      <c r="D777" s="16"/>
      <c r="E777" s="16"/>
    </row>
    <row r="778">
      <c r="A778" s="16"/>
      <c r="B778" s="75"/>
      <c r="C778" s="26"/>
      <c r="D778" s="16"/>
      <c r="E778" s="16"/>
    </row>
    <row r="779">
      <c r="A779" s="16"/>
      <c r="B779" s="75"/>
      <c r="C779" s="26"/>
      <c r="D779" s="16"/>
      <c r="E779" s="16"/>
    </row>
    <row r="780">
      <c r="A780" s="16"/>
      <c r="B780" s="75"/>
      <c r="C780" s="26"/>
      <c r="D780" s="16"/>
      <c r="E780" s="16"/>
    </row>
    <row r="781">
      <c r="A781" s="16"/>
      <c r="B781" s="75"/>
      <c r="C781" s="26"/>
      <c r="D781" s="16"/>
      <c r="E781" s="16"/>
    </row>
    <row r="782">
      <c r="A782" s="16"/>
      <c r="B782" s="75"/>
      <c r="C782" s="26"/>
      <c r="D782" s="16"/>
      <c r="E782" s="16"/>
    </row>
    <row r="783">
      <c r="A783" s="16"/>
      <c r="B783" s="75"/>
      <c r="C783" s="26"/>
      <c r="D783" s="16"/>
      <c r="E783" s="16"/>
    </row>
    <row r="784">
      <c r="A784" s="16"/>
      <c r="B784" s="75"/>
      <c r="C784" s="26"/>
      <c r="D784" s="16"/>
      <c r="E784" s="16"/>
    </row>
    <row r="785">
      <c r="A785" s="16"/>
      <c r="B785" s="75"/>
      <c r="C785" s="26"/>
      <c r="D785" s="16"/>
      <c r="E785" s="16"/>
    </row>
    <row r="786">
      <c r="A786" s="16"/>
      <c r="B786" s="75"/>
      <c r="C786" s="26"/>
      <c r="D786" s="16"/>
      <c r="E786" s="16"/>
    </row>
    <row r="787">
      <c r="A787" s="16"/>
      <c r="B787" s="75"/>
      <c r="C787" s="26"/>
      <c r="D787" s="16"/>
      <c r="E787" s="16"/>
    </row>
    <row r="788">
      <c r="A788" s="16"/>
      <c r="B788" s="75"/>
      <c r="C788" s="26"/>
      <c r="D788" s="16"/>
      <c r="E788" s="16"/>
    </row>
    <row r="789">
      <c r="A789" s="16"/>
      <c r="B789" s="75"/>
      <c r="C789" s="26"/>
      <c r="D789" s="16"/>
      <c r="E789" s="16"/>
    </row>
    <row r="790">
      <c r="A790" s="16"/>
      <c r="B790" s="75"/>
      <c r="C790" s="26"/>
      <c r="D790" s="16"/>
      <c r="E790" s="16"/>
    </row>
    <row r="791">
      <c r="A791" s="16"/>
      <c r="B791" s="75"/>
      <c r="C791" s="26"/>
      <c r="D791" s="16"/>
      <c r="E791" s="16"/>
    </row>
    <row r="792">
      <c r="A792" s="16"/>
      <c r="B792" s="75"/>
      <c r="C792" s="26"/>
      <c r="D792" s="16"/>
      <c r="E792" s="16"/>
    </row>
    <row r="793">
      <c r="A793" s="16"/>
      <c r="B793" s="75"/>
      <c r="C793" s="26"/>
      <c r="D793" s="16"/>
      <c r="E793" s="16"/>
    </row>
    <row r="794">
      <c r="A794" s="16"/>
      <c r="B794" s="75"/>
      <c r="C794" s="26"/>
      <c r="D794" s="16"/>
      <c r="E794" s="16"/>
    </row>
    <row r="795">
      <c r="A795" s="16"/>
      <c r="B795" s="75"/>
      <c r="C795" s="26"/>
      <c r="D795" s="16"/>
      <c r="E795" s="16"/>
    </row>
    <row r="796">
      <c r="A796" s="16"/>
      <c r="B796" s="75"/>
      <c r="C796" s="26"/>
      <c r="D796" s="16"/>
      <c r="E796" s="16"/>
    </row>
    <row r="797">
      <c r="A797" s="16"/>
      <c r="B797" s="75"/>
      <c r="C797" s="26"/>
      <c r="D797" s="16"/>
      <c r="E797" s="16"/>
    </row>
    <row r="798">
      <c r="A798" s="16"/>
      <c r="B798" s="75"/>
      <c r="C798" s="26"/>
      <c r="D798" s="16"/>
      <c r="E798" s="16"/>
    </row>
    <row r="799">
      <c r="A799" s="16"/>
      <c r="B799" s="75"/>
      <c r="C799" s="26"/>
      <c r="D799" s="16"/>
      <c r="E799" s="16"/>
    </row>
    <row r="800">
      <c r="A800" s="16"/>
      <c r="B800" s="75"/>
      <c r="C800" s="26"/>
      <c r="D800" s="16"/>
      <c r="E800" s="16"/>
    </row>
    <row r="801">
      <c r="A801" s="16"/>
      <c r="B801" s="75"/>
      <c r="C801" s="26"/>
      <c r="D801" s="16"/>
      <c r="E801" s="16"/>
    </row>
    <row r="802">
      <c r="A802" s="16"/>
      <c r="B802" s="75"/>
      <c r="C802" s="26"/>
      <c r="D802" s="16"/>
      <c r="E802" s="16"/>
    </row>
    <row r="803">
      <c r="A803" s="16"/>
      <c r="B803" s="75"/>
      <c r="C803" s="26"/>
      <c r="D803" s="16"/>
      <c r="E803" s="16"/>
    </row>
    <row r="804">
      <c r="A804" s="16"/>
      <c r="B804" s="75"/>
      <c r="C804" s="26"/>
      <c r="D804" s="16"/>
      <c r="E804" s="16"/>
    </row>
    <row r="805">
      <c r="A805" s="16"/>
      <c r="B805" s="75"/>
      <c r="C805" s="26"/>
      <c r="D805" s="16"/>
      <c r="E805" s="16"/>
    </row>
    <row r="806">
      <c r="A806" s="16"/>
      <c r="B806" s="75"/>
      <c r="C806" s="26"/>
      <c r="D806" s="16"/>
      <c r="E806" s="16"/>
    </row>
    <row r="807">
      <c r="A807" s="16"/>
      <c r="B807" s="75"/>
      <c r="C807" s="26"/>
      <c r="D807" s="16"/>
      <c r="E807" s="16"/>
    </row>
    <row r="808">
      <c r="A808" s="16"/>
      <c r="B808" s="75"/>
      <c r="C808" s="26"/>
      <c r="D808" s="16"/>
      <c r="E808" s="16"/>
    </row>
    <row r="809">
      <c r="A809" s="16"/>
      <c r="B809" s="75"/>
      <c r="C809" s="26"/>
      <c r="D809" s="16"/>
      <c r="E809" s="16"/>
    </row>
    <row r="810">
      <c r="A810" s="16"/>
      <c r="B810" s="75"/>
      <c r="C810" s="26"/>
      <c r="D810" s="16"/>
      <c r="E810" s="16"/>
    </row>
    <row r="811">
      <c r="A811" s="16"/>
      <c r="B811" s="75"/>
      <c r="C811" s="26"/>
      <c r="D811" s="16"/>
      <c r="E811" s="16"/>
    </row>
    <row r="812">
      <c r="A812" s="16"/>
      <c r="B812" s="75"/>
      <c r="C812" s="26"/>
      <c r="D812" s="16"/>
      <c r="E812" s="16"/>
    </row>
    <row r="813">
      <c r="A813" s="16"/>
      <c r="B813" s="75"/>
      <c r="C813" s="26"/>
      <c r="D813" s="16"/>
      <c r="E813" s="16"/>
    </row>
    <row r="814">
      <c r="A814" s="16"/>
      <c r="B814" s="75"/>
      <c r="C814" s="26"/>
      <c r="D814" s="16"/>
      <c r="E814" s="16"/>
    </row>
    <row r="815">
      <c r="A815" s="16"/>
      <c r="B815" s="75"/>
      <c r="C815" s="26"/>
      <c r="D815" s="16"/>
      <c r="E815" s="16"/>
    </row>
    <row r="816">
      <c r="A816" s="16"/>
      <c r="B816" s="75"/>
      <c r="C816" s="26"/>
      <c r="D816" s="16"/>
      <c r="E816" s="16"/>
    </row>
    <row r="817">
      <c r="A817" s="16"/>
      <c r="B817" s="75"/>
      <c r="C817" s="26"/>
      <c r="D817" s="16"/>
      <c r="E817" s="16"/>
    </row>
    <row r="818">
      <c r="A818" s="16"/>
      <c r="B818" s="75"/>
      <c r="C818" s="26"/>
      <c r="D818" s="16"/>
      <c r="E818" s="16"/>
    </row>
    <row r="819">
      <c r="A819" s="16"/>
      <c r="B819" s="75"/>
      <c r="C819" s="26"/>
      <c r="D819" s="16"/>
      <c r="E819" s="16"/>
    </row>
    <row r="820">
      <c r="A820" s="16"/>
      <c r="B820" s="75"/>
      <c r="C820" s="26"/>
      <c r="D820" s="16"/>
      <c r="E820" s="16"/>
    </row>
    <row r="821">
      <c r="A821" s="16"/>
      <c r="B821" s="75"/>
      <c r="C821" s="26"/>
      <c r="D821" s="16"/>
      <c r="E821" s="16"/>
    </row>
    <row r="822">
      <c r="A822" s="16"/>
      <c r="B822" s="75"/>
      <c r="C822" s="26"/>
      <c r="D822" s="16"/>
      <c r="E822" s="16"/>
    </row>
    <row r="823">
      <c r="A823" s="16"/>
      <c r="B823" s="75"/>
      <c r="C823" s="26"/>
      <c r="D823" s="16"/>
      <c r="E823" s="16"/>
    </row>
    <row r="824">
      <c r="A824" s="16"/>
      <c r="B824" s="75"/>
      <c r="C824" s="26"/>
      <c r="D824" s="16"/>
      <c r="E824" s="16"/>
    </row>
    <row r="825">
      <c r="A825" s="16"/>
      <c r="B825" s="75"/>
      <c r="C825" s="26"/>
      <c r="D825" s="16"/>
      <c r="E825" s="16"/>
    </row>
    <row r="826">
      <c r="A826" s="16"/>
      <c r="B826" s="75"/>
      <c r="C826" s="26"/>
      <c r="D826" s="16"/>
      <c r="E826" s="16"/>
    </row>
    <row r="827">
      <c r="A827" s="16"/>
      <c r="B827" s="75"/>
      <c r="C827" s="26"/>
      <c r="D827" s="16"/>
      <c r="E827" s="16"/>
    </row>
    <row r="828">
      <c r="A828" s="16"/>
      <c r="B828" s="75"/>
      <c r="C828" s="26"/>
      <c r="D828" s="16"/>
      <c r="E828" s="16"/>
    </row>
    <row r="829">
      <c r="A829" s="16"/>
      <c r="B829" s="75"/>
      <c r="C829" s="26"/>
      <c r="D829" s="16"/>
      <c r="E829" s="16"/>
    </row>
    <row r="830">
      <c r="A830" s="16"/>
      <c r="B830" s="75"/>
      <c r="C830" s="26"/>
      <c r="D830" s="16"/>
      <c r="E830" s="16"/>
    </row>
    <row r="831">
      <c r="A831" s="16"/>
      <c r="B831" s="75"/>
      <c r="C831" s="26"/>
      <c r="D831" s="16"/>
      <c r="E831" s="16"/>
    </row>
    <row r="832">
      <c r="A832" s="16"/>
      <c r="B832" s="75"/>
      <c r="C832" s="26"/>
      <c r="D832" s="16"/>
      <c r="E832" s="16"/>
    </row>
    <row r="833">
      <c r="A833" s="16"/>
      <c r="B833" s="75"/>
      <c r="C833" s="26"/>
      <c r="D833" s="16"/>
      <c r="E833" s="16"/>
    </row>
    <row r="834">
      <c r="A834" s="16"/>
      <c r="B834" s="75"/>
      <c r="C834" s="26"/>
      <c r="D834" s="16"/>
      <c r="E834" s="16"/>
    </row>
    <row r="835">
      <c r="A835" s="16"/>
      <c r="B835" s="75"/>
      <c r="C835" s="26"/>
      <c r="D835" s="16"/>
      <c r="E835" s="16"/>
    </row>
    <row r="836">
      <c r="A836" s="16"/>
      <c r="B836" s="75"/>
      <c r="C836" s="26"/>
      <c r="D836" s="16"/>
      <c r="E836" s="16"/>
    </row>
    <row r="837">
      <c r="A837" s="16"/>
      <c r="B837" s="75"/>
      <c r="C837" s="26"/>
      <c r="D837" s="16"/>
      <c r="E837" s="16"/>
    </row>
    <row r="838">
      <c r="A838" s="16"/>
      <c r="B838" s="75"/>
      <c r="C838" s="26"/>
      <c r="D838" s="16"/>
      <c r="E838" s="16"/>
    </row>
    <row r="839">
      <c r="A839" s="16"/>
      <c r="B839" s="75"/>
      <c r="C839" s="26"/>
      <c r="D839" s="16"/>
      <c r="E839" s="16"/>
    </row>
    <row r="840">
      <c r="A840" s="16"/>
      <c r="B840" s="75"/>
      <c r="C840" s="26"/>
      <c r="D840" s="16"/>
      <c r="E840" s="16"/>
    </row>
    <row r="841">
      <c r="A841" s="16"/>
      <c r="B841" s="75"/>
      <c r="C841" s="26"/>
      <c r="D841" s="16"/>
      <c r="E841" s="16"/>
    </row>
    <row r="842">
      <c r="A842" s="16"/>
      <c r="B842" s="75"/>
      <c r="C842" s="26"/>
      <c r="D842" s="16"/>
      <c r="E842" s="16"/>
    </row>
    <row r="843">
      <c r="A843" s="16"/>
      <c r="B843" s="75"/>
      <c r="C843" s="26"/>
      <c r="D843" s="16"/>
      <c r="E843" s="16"/>
    </row>
    <row r="844">
      <c r="A844" s="16"/>
      <c r="B844" s="75"/>
      <c r="C844" s="26"/>
      <c r="D844" s="16"/>
      <c r="E844" s="16"/>
    </row>
    <row r="845">
      <c r="A845" s="16"/>
      <c r="B845" s="75"/>
      <c r="C845" s="26"/>
      <c r="D845" s="16"/>
      <c r="E845" s="16"/>
    </row>
    <row r="846">
      <c r="A846" s="16"/>
      <c r="B846" s="75"/>
      <c r="C846" s="26"/>
      <c r="D846" s="16"/>
      <c r="E846" s="16"/>
    </row>
    <row r="847">
      <c r="A847" s="16"/>
      <c r="B847" s="75"/>
      <c r="C847" s="26"/>
      <c r="D847" s="16"/>
      <c r="E847" s="16"/>
    </row>
    <row r="848">
      <c r="A848" s="16"/>
      <c r="B848" s="75"/>
      <c r="C848" s="26"/>
      <c r="D848" s="16"/>
      <c r="E848" s="16"/>
    </row>
    <row r="849">
      <c r="A849" s="16"/>
      <c r="B849" s="75"/>
      <c r="C849" s="26"/>
      <c r="D849" s="16"/>
      <c r="E849" s="16"/>
    </row>
    <row r="850">
      <c r="A850" s="16"/>
      <c r="B850" s="75"/>
      <c r="C850" s="26"/>
      <c r="D850" s="16"/>
      <c r="E850" s="16"/>
    </row>
    <row r="851">
      <c r="A851" s="16"/>
      <c r="B851" s="75"/>
      <c r="C851" s="26"/>
      <c r="D851" s="16"/>
      <c r="E851" s="16"/>
    </row>
    <row r="852">
      <c r="A852" s="16"/>
      <c r="B852" s="75"/>
      <c r="C852" s="26"/>
      <c r="D852" s="16"/>
      <c r="E852" s="16"/>
    </row>
    <row r="853">
      <c r="A853" s="16"/>
      <c r="B853" s="75"/>
      <c r="C853" s="26"/>
      <c r="D853" s="16"/>
      <c r="E853" s="16"/>
    </row>
    <row r="854">
      <c r="A854" s="16"/>
      <c r="B854" s="75"/>
      <c r="C854" s="26"/>
      <c r="D854" s="16"/>
      <c r="E854" s="16"/>
    </row>
    <row r="855">
      <c r="A855" s="16"/>
      <c r="B855" s="75"/>
      <c r="C855" s="26"/>
      <c r="D855" s="16"/>
      <c r="E855" s="16"/>
    </row>
    <row r="856">
      <c r="A856" s="16"/>
      <c r="B856" s="75"/>
      <c r="C856" s="26"/>
      <c r="D856" s="16"/>
      <c r="E856" s="16"/>
    </row>
    <row r="857">
      <c r="A857" s="16"/>
      <c r="B857" s="75"/>
      <c r="C857" s="26"/>
      <c r="D857" s="16"/>
      <c r="E857" s="16"/>
    </row>
    <row r="858">
      <c r="A858" s="16"/>
      <c r="B858" s="75"/>
      <c r="C858" s="26"/>
      <c r="D858" s="16"/>
      <c r="E858" s="16"/>
    </row>
    <row r="859">
      <c r="A859" s="16"/>
      <c r="B859" s="75"/>
      <c r="C859" s="26"/>
      <c r="D859" s="16"/>
      <c r="E859" s="16"/>
    </row>
    <row r="860">
      <c r="A860" s="16"/>
      <c r="B860" s="75"/>
      <c r="C860" s="26"/>
      <c r="D860" s="16"/>
      <c r="E860" s="16"/>
    </row>
    <row r="861">
      <c r="A861" s="16"/>
      <c r="B861" s="75"/>
      <c r="C861" s="26"/>
      <c r="D861" s="16"/>
      <c r="E861" s="16"/>
    </row>
    <row r="862">
      <c r="A862" s="16"/>
      <c r="B862" s="75"/>
      <c r="C862" s="26"/>
      <c r="D862" s="16"/>
      <c r="E862" s="16"/>
    </row>
    <row r="863">
      <c r="A863" s="16"/>
      <c r="B863" s="75"/>
      <c r="C863" s="26"/>
      <c r="D863" s="16"/>
      <c r="E863" s="16"/>
    </row>
    <row r="864">
      <c r="A864" s="16"/>
      <c r="B864" s="75"/>
      <c r="C864" s="26"/>
      <c r="D864" s="16"/>
      <c r="E864" s="16"/>
    </row>
    <row r="865">
      <c r="A865" s="16"/>
      <c r="B865" s="75"/>
      <c r="C865" s="26"/>
      <c r="D865" s="16"/>
      <c r="E865" s="16"/>
    </row>
    <row r="866">
      <c r="A866" s="16"/>
      <c r="B866" s="75"/>
      <c r="C866" s="26"/>
      <c r="D866" s="16"/>
      <c r="E866" s="16"/>
    </row>
    <row r="867">
      <c r="A867" s="16"/>
      <c r="B867" s="75"/>
      <c r="C867" s="26"/>
      <c r="D867" s="16"/>
      <c r="E867" s="16"/>
    </row>
    <row r="868">
      <c r="A868" s="16"/>
      <c r="B868" s="75"/>
      <c r="C868" s="26"/>
      <c r="D868" s="16"/>
      <c r="E868" s="16"/>
    </row>
    <row r="869">
      <c r="A869" s="16"/>
      <c r="B869" s="75"/>
      <c r="C869" s="26"/>
      <c r="D869" s="16"/>
      <c r="E869" s="16"/>
    </row>
    <row r="870">
      <c r="A870" s="16"/>
      <c r="B870" s="75"/>
      <c r="C870" s="26"/>
      <c r="D870" s="16"/>
      <c r="E870" s="16"/>
    </row>
    <row r="871">
      <c r="A871" s="16"/>
      <c r="B871" s="75"/>
      <c r="C871" s="26"/>
      <c r="D871" s="16"/>
      <c r="E871" s="16"/>
    </row>
    <row r="872">
      <c r="A872" s="16"/>
      <c r="B872" s="75"/>
      <c r="C872" s="26"/>
      <c r="D872" s="16"/>
      <c r="E872" s="16"/>
    </row>
    <row r="873">
      <c r="A873" s="16"/>
      <c r="B873" s="75"/>
      <c r="C873" s="26"/>
      <c r="D873" s="16"/>
      <c r="E873" s="16"/>
    </row>
    <row r="874">
      <c r="A874" s="16"/>
      <c r="B874" s="75"/>
      <c r="C874" s="26"/>
      <c r="D874" s="16"/>
      <c r="E874" s="16"/>
    </row>
    <row r="875">
      <c r="A875" s="16"/>
      <c r="B875" s="75"/>
      <c r="C875" s="26"/>
      <c r="D875" s="16"/>
      <c r="E875" s="16"/>
    </row>
    <row r="876">
      <c r="A876" s="16"/>
      <c r="B876" s="75"/>
      <c r="C876" s="26"/>
      <c r="D876" s="16"/>
      <c r="E876" s="16"/>
    </row>
    <row r="877">
      <c r="A877" s="16"/>
      <c r="B877" s="75"/>
      <c r="C877" s="26"/>
      <c r="D877" s="16"/>
      <c r="E877" s="16"/>
    </row>
    <row r="878">
      <c r="A878" s="16"/>
      <c r="B878" s="75"/>
      <c r="C878" s="26"/>
      <c r="D878" s="16"/>
      <c r="E878" s="16"/>
    </row>
    <row r="879">
      <c r="A879" s="16"/>
      <c r="B879" s="75"/>
      <c r="C879" s="26"/>
      <c r="D879" s="16"/>
      <c r="E879" s="16"/>
    </row>
    <row r="880">
      <c r="A880" s="16"/>
      <c r="B880" s="75"/>
      <c r="C880" s="26"/>
      <c r="D880" s="16"/>
      <c r="E880" s="16"/>
    </row>
    <row r="881">
      <c r="A881" s="16"/>
      <c r="B881" s="75"/>
      <c r="C881" s="26"/>
      <c r="D881" s="16"/>
      <c r="E881" s="16"/>
    </row>
    <row r="882">
      <c r="A882" s="16"/>
      <c r="B882" s="75"/>
      <c r="C882" s="26"/>
      <c r="D882" s="16"/>
      <c r="E882" s="16"/>
    </row>
    <row r="883">
      <c r="A883" s="16"/>
      <c r="B883" s="75"/>
      <c r="C883" s="26"/>
      <c r="D883" s="16"/>
      <c r="E883" s="16"/>
    </row>
    <row r="884">
      <c r="A884" s="16"/>
      <c r="B884" s="75"/>
      <c r="C884" s="26"/>
      <c r="D884" s="16"/>
      <c r="E884" s="16"/>
    </row>
    <row r="885">
      <c r="A885" s="16"/>
      <c r="B885" s="75"/>
      <c r="C885" s="26"/>
      <c r="D885" s="16"/>
      <c r="E885" s="16"/>
    </row>
    <row r="886">
      <c r="A886" s="16"/>
      <c r="B886" s="75"/>
      <c r="C886" s="26"/>
      <c r="D886" s="16"/>
      <c r="E886" s="16"/>
    </row>
    <row r="887">
      <c r="A887" s="16"/>
      <c r="B887" s="75"/>
      <c r="C887" s="26"/>
      <c r="D887" s="16"/>
      <c r="E887" s="16"/>
    </row>
    <row r="888">
      <c r="A888" s="16"/>
      <c r="B888" s="75"/>
      <c r="C888" s="26"/>
      <c r="D888" s="16"/>
      <c r="E888" s="16"/>
    </row>
    <row r="889">
      <c r="A889" s="16"/>
      <c r="B889" s="75"/>
      <c r="C889" s="26"/>
      <c r="D889" s="16"/>
      <c r="E889" s="16"/>
    </row>
    <row r="890">
      <c r="A890" s="16"/>
      <c r="B890" s="75"/>
      <c r="C890" s="26"/>
      <c r="D890" s="16"/>
      <c r="E890" s="16"/>
    </row>
    <row r="891">
      <c r="A891" s="16"/>
      <c r="B891" s="75"/>
      <c r="C891" s="26"/>
      <c r="D891" s="16"/>
      <c r="E891" s="16"/>
    </row>
    <row r="892">
      <c r="A892" s="16"/>
      <c r="B892" s="75"/>
      <c r="C892" s="26"/>
      <c r="D892" s="16"/>
      <c r="E892" s="16"/>
    </row>
    <row r="893">
      <c r="A893" s="16"/>
      <c r="B893" s="75"/>
      <c r="C893" s="26"/>
      <c r="D893" s="16"/>
      <c r="E893" s="16"/>
    </row>
    <row r="894">
      <c r="A894" s="16"/>
      <c r="B894" s="75"/>
      <c r="C894" s="26"/>
      <c r="D894" s="16"/>
      <c r="E894" s="16"/>
    </row>
    <row r="895">
      <c r="A895" s="16"/>
      <c r="B895" s="75"/>
      <c r="C895" s="26"/>
      <c r="D895" s="16"/>
      <c r="E895" s="16"/>
    </row>
    <row r="896">
      <c r="A896" s="16"/>
      <c r="B896" s="72"/>
      <c r="C896" s="26"/>
      <c r="D896" s="16"/>
      <c r="E896" s="16"/>
    </row>
    <row r="897">
      <c r="A897" s="16"/>
      <c r="B897" s="72"/>
      <c r="C897" s="26"/>
      <c r="D897" s="16"/>
      <c r="E897" s="16"/>
    </row>
    <row r="898">
      <c r="A898" s="16"/>
      <c r="B898" s="72"/>
      <c r="C898" s="26"/>
      <c r="D898" s="16"/>
      <c r="E898" s="16"/>
    </row>
    <row r="899">
      <c r="A899" s="16"/>
      <c r="B899" s="72"/>
      <c r="C899" s="26"/>
      <c r="D899" s="16"/>
      <c r="E899" s="16"/>
    </row>
    <row r="900">
      <c r="A900" s="16"/>
      <c r="B900" s="72"/>
      <c r="C900" s="26"/>
      <c r="D900" s="16"/>
      <c r="E900" s="16"/>
    </row>
    <row r="901">
      <c r="A901" s="16"/>
      <c r="B901" s="72"/>
      <c r="C901" s="26"/>
      <c r="D901" s="16"/>
      <c r="E901" s="16"/>
    </row>
    <row r="902">
      <c r="A902" s="16"/>
      <c r="B902" s="72"/>
      <c r="C902" s="26"/>
      <c r="D902" s="16"/>
      <c r="E902" s="16"/>
    </row>
    <row r="903">
      <c r="A903" s="16"/>
      <c r="B903" s="72"/>
      <c r="C903" s="26"/>
      <c r="D903" s="16"/>
      <c r="E903" s="16"/>
    </row>
    <row r="904">
      <c r="A904" s="16"/>
      <c r="B904" s="72"/>
      <c r="C904" s="26"/>
      <c r="D904" s="16"/>
      <c r="E904" s="16"/>
    </row>
    <row r="905">
      <c r="A905" s="16"/>
      <c r="B905" s="72"/>
      <c r="C905" s="26"/>
      <c r="D905" s="16"/>
      <c r="E905" s="16"/>
    </row>
    <row r="906">
      <c r="A906" s="16"/>
      <c r="B906" s="72"/>
      <c r="C906" s="26"/>
      <c r="D906" s="16"/>
      <c r="E906" s="16"/>
    </row>
    <row r="907">
      <c r="A907" s="16"/>
      <c r="B907" s="72"/>
      <c r="C907" s="26"/>
      <c r="D907" s="16"/>
      <c r="E907" s="16"/>
    </row>
    <row r="908">
      <c r="A908" s="16"/>
      <c r="B908" s="72"/>
      <c r="C908" s="26"/>
      <c r="D908" s="16"/>
      <c r="E908" s="16"/>
    </row>
    <row r="909">
      <c r="A909" s="16"/>
      <c r="B909" s="72"/>
      <c r="C909" s="26"/>
      <c r="D909" s="16"/>
      <c r="E909" s="16"/>
    </row>
    <row r="910">
      <c r="A910" s="16"/>
      <c r="B910" s="72"/>
      <c r="C910" s="26"/>
      <c r="D910" s="16"/>
      <c r="E910" s="16"/>
    </row>
    <row r="911">
      <c r="A911" s="16"/>
      <c r="B911" s="72"/>
      <c r="C911" s="26"/>
      <c r="D911" s="16"/>
      <c r="E911" s="16"/>
    </row>
    <row r="912">
      <c r="A912" s="16"/>
      <c r="B912" s="72"/>
      <c r="C912" s="26"/>
      <c r="D912" s="16"/>
      <c r="E912" s="16"/>
    </row>
    <row r="913">
      <c r="A913" s="16"/>
      <c r="B913" s="72"/>
      <c r="C913" s="26"/>
      <c r="D913" s="16"/>
      <c r="E913" s="16"/>
    </row>
    <row r="914">
      <c r="A914" s="16"/>
      <c r="B914" s="72"/>
      <c r="C914" s="26"/>
      <c r="D914" s="16"/>
      <c r="E914" s="16"/>
    </row>
    <row r="915">
      <c r="A915" s="16"/>
      <c r="B915" s="72"/>
      <c r="C915" s="26"/>
      <c r="D915" s="16"/>
      <c r="E915" s="16"/>
    </row>
    <row r="916">
      <c r="A916" s="16"/>
      <c r="B916" s="72"/>
      <c r="C916" s="26"/>
      <c r="D916" s="16"/>
      <c r="E916" s="16"/>
    </row>
    <row r="917">
      <c r="A917" s="16"/>
      <c r="B917" s="72"/>
      <c r="C917" s="26"/>
      <c r="D917" s="16"/>
      <c r="E917" s="16"/>
    </row>
    <row r="918">
      <c r="A918" s="16"/>
      <c r="B918" s="72"/>
      <c r="C918" s="26"/>
      <c r="D918" s="16"/>
      <c r="E918" s="16"/>
    </row>
    <row r="919">
      <c r="A919" s="16"/>
      <c r="B919" s="72"/>
      <c r="C919" s="26"/>
      <c r="D919" s="16"/>
      <c r="E919" s="16"/>
    </row>
    <row r="920">
      <c r="A920" s="16"/>
      <c r="B920" s="72"/>
      <c r="C920" s="26"/>
      <c r="D920" s="16"/>
      <c r="E920" s="16"/>
    </row>
    <row r="921">
      <c r="A921" s="16"/>
      <c r="B921" s="72"/>
      <c r="C921" s="26"/>
      <c r="D921" s="16"/>
      <c r="E921" s="16"/>
    </row>
    <row r="922">
      <c r="A922" s="16"/>
      <c r="B922" s="72"/>
      <c r="C922" s="26"/>
      <c r="D922" s="16"/>
      <c r="E922" s="16"/>
    </row>
    <row r="923">
      <c r="A923" s="16"/>
      <c r="B923" s="72"/>
      <c r="C923" s="26"/>
      <c r="D923" s="16"/>
      <c r="E923" s="16"/>
    </row>
    <row r="924">
      <c r="A924" s="16"/>
      <c r="B924" s="72"/>
      <c r="C924" s="26"/>
      <c r="D924" s="16"/>
      <c r="E924" s="16"/>
    </row>
    <row r="925">
      <c r="A925" s="16"/>
      <c r="B925" s="72"/>
      <c r="C925" s="26"/>
      <c r="D925" s="16"/>
      <c r="E925" s="16"/>
    </row>
    <row r="926">
      <c r="A926" s="16"/>
      <c r="B926" s="72"/>
      <c r="C926" s="26"/>
      <c r="D926" s="16"/>
      <c r="E926" s="16"/>
    </row>
    <row r="927">
      <c r="A927" s="16"/>
      <c r="B927" s="72"/>
      <c r="C927" s="26"/>
      <c r="D927" s="16"/>
      <c r="E927" s="16"/>
    </row>
    <row r="928">
      <c r="A928" s="16"/>
      <c r="B928" s="72"/>
      <c r="C928" s="26"/>
      <c r="D928" s="16"/>
      <c r="E928" s="16"/>
    </row>
    <row r="929">
      <c r="A929" s="16"/>
      <c r="B929" s="72"/>
      <c r="C929" s="26"/>
      <c r="D929" s="16"/>
      <c r="E929" s="16"/>
    </row>
    <row r="930">
      <c r="A930" s="16"/>
      <c r="B930" s="72"/>
      <c r="C930" s="26"/>
      <c r="D930" s="16"/>
      <c r="E930" s="16"/>
    </row>
    <row r="931">
      <c r="A931" s="16"/>
      <c r="B931" s="72"/>
      <c r="C931" s="26"/>
      <c r="D931" s="16"/>
      <c r="E931" s="16"/>
    </row>
    <row r="932">
      <c r="A932" s="16"/>
      <c r="B932" s="72"/>
      <c r="C932" s="26"/>
      <c r="D932" s="16"/>
      <c r="E932" s="16"/>
    </row>
    <row r="933">
      <c r="A933" s="16"/>
      <c r="B933" s="72"/>
      <c r="C933" s="26"/>
      <c r="D933" s="16"/>
      <c r="E933" s="16"/>
    </row>
    <row r="934">
      <c r="A934" s="16"/>
      <c r="B934" s="72"/>
      <c r="C934" s="26"/>
      <c r="D934" s="16"/>
      <c r="E934" s="16"/>
    </row>
    <row r="935">
      <c r="A935" s="16"/>
      <c r="B935" s="72"/>
      <c r="C935" s="26"/>
      <c r="D935" s="16"/>
      <c r="E935" s="16"/>
    </row>
    <row r="936">
      <c r="A936" s="16"/>
      <c r="B936" s="72"/>
      <c r="C936" s="26"/>
      <c r="D936" s="16"/>
      <c r="E936" s="16"/>
    </row>
    <row r="937">
      <c r="A937" s="16"/>
      <c r="B937" s="72"/>
      <c r="C937" s="26"/>
      <c r="D937" s="16"/>
      <c r="E937" s="16"/>
    </row>
    <row r="938">
      <c r="A938" s="16"/>
      <c r="B938" s="72"/>
      <c r="C938" s="26"/>
      <c r="D938" s="16"/>
      <c r="E938" s="16"/>
    </row>
    <row r="939">
      <c r="A939" s="16"/>
      <c r="B939" s="72"/>
      <c r="C939" s="26"/>
      <c r="D939" s="16"/>
      <c r="E939" s="16"/>
    </row>
    <row r="940">
      <c r="A940" s="16"/>
      <c r="B940" s="72"/>
      <c r="C940" s="26"/>
      <c r="D940" s="16"/>
      <c r="E940" s="16"/>
    </row>
    <row r="941">
      <c r="A941" s="16"/>
      <c r="B941" s="72"/>
      <c r="C941" s="26"/>
      <c r="D941" s="16"/>
      <c r="E941" s="16"/>
    </row>
    <row r="942">
      <c r="A942" s="16"/>
      <c r="B942" s="72"/>
      <c r="C942" s="26"/>
      <c r="D942" s="16"/>
      <c r="E942" s="16"/>
    </row>
    <row r="943">
      <c r="A943" s="16"/>
      <c r="B943" s="72"/>
      <c r="C943" s="26"/>
      <c r="D943" s="16"/>
      <c r="E943" s="16"/>
    </row>
    <row r="944">
      <c r="A944" s="16"/>
      <c r="B944" s="72"/>
      <c r="C944" s="26"/>
      <c r="D944" s="16"/>
      <c r="E944" s="16"/>
    </row>
    <row r="945">
      <c r="A945" s="16"/>
      <c r="B945" s="72"/>
      <c r="C945" s="26"/>
      <c r="D945" s="16"/>
      <c r="E945" s="16"/>
    </row>
    <row r="946">
      <c r="A946" s="16"/>
      <c r="B946" s="72"/>
      <c r="C946" s="26"/>
      <c r="D946" s="16"/>
      <c r="E946" s="16"/>
    </row>
    <row r="947">
      <c r="A947" s="16"/>
      <c r="B947" s="72"/>
      <c r="C947" s="26"/>
      <c r="D947" s="16"/>
      <c r="E947" s="16"/>
    </row>
    <row r="948">
      <c r="A948" s="16"/>
      <c r="B948" s="72"/>
      <c r="C948" s="26"/>
      <c r="D948" s="16"/>
      <c r="E948" s="16"/>
    </row>
    <row r="949">
      <c r="A949" s="16"/>
      <c r="B949" s="72"/>
      <c r="C949" s="26"/>
      <c r="D949" s="16"/>
      <c r="E949" s="16"/>
    </row>
    <row r="950">
      <c r="A950" s="16"/>
      <c r="B950" s="72"/>
      <c r="C950" s="26"/>
      <c r="D950" s="16"/>
      <c r="E950" s="16"/>
    </row>
    <row r="951">
      <c r="A951" s="16"/>
      <c r="B951" s="72"/>
      <c r="C951" s="26"/>
      <c r="D951" s="16"/>
      <c r="E951" s="16"/>
    </row>
    <row r="952">
      <c r="A952" s="16"/>
      <c r="B952" s="72"/>
      <c r="C952" s="26"/>
      <c r="D952" s="16"/>
      <c r="E952" s="16"/>
    </row>
    <row r="953">
      <c r="A953" s="16"/>
      <c r="B953" s="72"/>
      <c r="C953" s="26"/>
      <c r="D953" s="16"/>
      <c r="E953" s="16"/>
    </row>
    <row r="954">
      <c r="A954" s="16"/>
      <c r="B954" s="72"/>
      <c r="C954" s="26"/>
      <c r="D954" s="16"/>
      <c r="E954" s="16"/>
    </row>
    <row r="955">
      <c r="A955" s="16"/>
      <c r="B955" s="72"/>
      <c r="C955" s="26"/>
      <c r="D955" s="16"/>
      <c r="E955" s="16"/>
    </row>
    <row r="956">
      <c r="A956" s="16"/>
      <c r="B956" s="72"/>
      <c r="C956" s="26"/>
      <c r="D956" s="16"/>
      <c r="E956" s="16"/>
    </row>
    <row r="957">
      <c r="A957" s="16"/>
      <c r="B957" s="72"/>
      <c r="C957" s="26"/>
      <c r="D957" s="16"/>
      <c r="E957" s="16"/>
    </row>
    <row r="958">
      <c r="A958" s="16"/>
      <c r="B958" s="72"/>
      <c r="C958" s="26"/>
      <c r="D958" s="16"/>
      <c r="E958" s="16"/>
    </row>
    <row r="959">
      <c r="A959" s="16"/>
      <c r="B959" s="72"/>
      <c r="C959" s="26"/>
      <c r="D959" s="16"/>
      <c r="E959" s="16"/>
    </row>
    <row r="960">
      <c r="A960" s="16"/>
      <c r="B960" s="72"/>
      <c r="C960" s="26"/>
      <c r="D960" s="16"/>
      <c r="E960" s="16"/>
    </row>
    <row r="961">
      <c r="A961" s="16"/>
      <c r="B961" s="72"/>
      <c r="C961" s="26"/>
      <c r="D961" s="16"/>
      <c r="E961" s="16"/>
    </row>
    <row r="962">
      <c r="A962" s="16"/>
      <c r="B962" s="72"/>
      <c r="C962" s="26"/>
      <c r="D962" s="16"/>
      <c r="E962" s="16"/>
    </row>
    <row r="963">
      <c r="A963" s="16"/>
      <c r="B963" s="72"/>
      <c r="C963" s="26"/>
      <c r="D963" s="16"/>
      <c r="E963" s="16"/>
    </row>
    <row r="964">
      <c r="A964" s="16"/>
      <c r="B964" s="72"/>
      <c r="C964" s="26"/>
      <c r="D964" s="16"/>
      <c r="E964" s="16"/>
    </row>
    <row r="965">
      <c r="A965" s="16"/>
      <c r="B965" s="72"/>
      <c r="C965" s="26"/>
      <c r="D965" s="16"/>
      <c r="E965" s="16"/>
    </row>
    <row r="966">
      <c r="A966" s="16"/>
      <c r="B966" s="72"/>
      <c r="C966" s="26"/>
      <c r="D966" s="16"/>
      <c r="E966" s="16"/>
    </row>
    <row r="967">
      <c r="A967" s="16"/>
      <c r="B967" s="72"/>
      <c r="C967" s="26"/>
      <c r="D967" s="16"/>
      <c r="E967" s="16"/>
    </row>
    <row r="968">
      <c r="A968" s="16"/>
      <c r="B968" s="72"/>
      <c r="C968" s="26"/>
      <c r="D968" s="16"/>
      <c r="E968" s="16"/>
    </row>
    <row r="969">
      <c r="A969" s="16"/>
      <c r="B969" s="72"/>
      <c r="C969" s="26"/>
      <c r="D969" s="16"/>
      <c r="E969" s="16"/>
    </row>
    <row r="970">
      <c r="A970" s="16"/>
      <c r="B970" s="72"/>
      <c r="C970" s="26"/>
      <c r="D970" s="16"/>
      <c r="E970" s="16"/>
    </row>
    <row r="971">
      <c r="A971" s="16"/>
      <c r="B971" s="72"/>
      <c r="C971" s="26"/>
      <c r="D971" s="16"/>
      <c r="E971" s="16"/>
    </row>
    <row r="972">
      <c r="A972" s="16"/>
      <c r="B972" s="72"/>
      <c r="C972" s="26"/>
      <c r="D972" s="16"/>
      <c r="E972" s="16"/>
    </row>
    <row r="973">
      <c r="A973" s="16"/>
      <c r="B973" s="72"/>
      <c r="C973" s="26"/>
      <c r="D973" s="16"/>
      <c r="E973" s="16"/>
    </row>
    <row r="974">
      <c r="A974" s="16"/>
      <c r="B974" s="72"/>
      <c r="C974" s="26"/>
      <c r="D974" s="16"/>
      <c r="E974" s="16"/>
    </row>
    <row r="975">
      <c r="A975" s="16"/>
      <c r="B975" s="72"/>
      <c r="C975" s="26"/>
      <c r="D975" s="16"/>
      <c r="E975" s="16"/>
    </row>
    <row r="976">
      <c r="A976" s="16"/>
      <c r="B976" s="72"/>
      <c r="C976" s="26"/>
      <c r="D976" s="16"/>
      <c r="E976" s="16"/>
    </row>
    <row r="977">
      <c r="A977" s="16"/>
      <c r="B977" s="72"/>
      <c r="C977" s="26"/>
      <c r="D977" s="16"/>
      <c r="E977" s="16"/>
    </row>
    <row r="978">
      <c r="A978" s="16"/>
      <c r="B978" s="72"/>
      <c r="C978" s="26"/>
      <c r="D978" s="16"/>
      <c r="E978" s="16"/>
    </row>
    <row r="979">
      <c r="A979" s="16"/>
      <c r="B979" s="72"/>
      <c r="C979" s="26"/>
      <c r="D979" s="16"/>
      <c r="E979" s="16"/>
    </row>
    <row r="980">
      <c r="A980" s="16"/>
      <c r="B980" s="72"/>
      <c r="C980" s="26"/>
      <c r="D980" s="16"/>
      <c r="E980" s="16"/>
    </row>
    <row r="981">
      <c r="A981" s="16"/>
      <c r="B981" s="75"/>
      <c r="C981" s="26"/>
      <c r="D981" s="16"/>
      <c r="E981" s="16"/>
    </row>
    <row r="982">
      <c r="A982" s="16"/>
      <c r="B982" s="75"/>
      <c r="C982" s="26"/>
      <c r="D982" s="16"/>
      <c r="E982" s="16"/>
    </row>
    <row r="983">
      <c r="A983" s="16"/>
      <c r="B983" s="75"/>
      <c r="C983" s="26"/>
      <c r="D983" s="16"/>
      <c r="E983" s="16"/>
    </row>
    <row r="984">
      <c r="A984" s="16"/>
      <c r="B984" s="75"/>
      <c r="C984" s="26"/>
      <c r="D984" s="16"/>
      <c r="E984" s="16"/>
    </row>
    <row r="985">
      <c r="A985" s="16"/>
      <c r="B985" s="75"/>
      <c r="C985" s="26"/>
      <c r="D985" s="16"/>
      <c r="E985" s="16"/>
    </row>
    <row r="986">
      <c r="A986" s="16"/>
      <c r="B986" s="72"/>
      <c r="C986" s="26"/>
      <c r="D986" s="16"/>
    </row>
    <row r="987">
      <c r="A987" s="16"/>
      <c r="B987" s="72"/>
      <c r="C987" s="26"/>
      <c r="D987" s="16"/>
    </row>
    <row r="988">
      <c r="A988" s="16"/>
      <c r="B988" s="72"/>
      <c r="C988" s="26"/>
      <c r="D988" s="16"/>
    </row>
    <row r="989">
      <c r="A989" s="16"/>
      <c r="B989" s="72"/>
      <c r="C989" s="26"/>
      <c r="D989" s="16"/>
    </row>
    <row r="990">
      <c r="A990" s="16"/>
      <c r="B990" s="72"/>
      <c r="C990" s="26"/>
      <c r="D990" s="16"/>
    </row>
    <row r="991">
      <c r="A991" s="16"/>
      <c r="B991" s="72"/>
      <c r="C991" s="26"/>
      <c r="D991" s="16"/>
    </row>
    <row r="992">
      <c r="A992" s="16"/>
      <c r="B992" s="72"/>
      <c r="C992" s="26"/>
      <c r="D992" s="16"/>
    </row>
    <row r="993">
      <c r="A993" s="16"/>
      <c r="B993" s="72"/>
      <c r="C993" s="26"/>
      <c r="D993" s="16"/>
    </row>
    <row r="994">
      <c r="A994" s="16"/>
      <c r="B994" s="72"/>
      <c r="C994" s="26"/>
      <c r="D994" s="16"/>
    </row>
    <row r="995">
      <c r="A995" s="16"/>
      <c r="B995" s="72"/>
      <c r="C995" s="26"/>
      <c r="D995" s="16"/>
    </row>
    <row r="996">
      <c r="A996" s="16"/>
      <c r="B996" s="72"/>
      <c r="C996" s="26"/>
      <c r="D996" s="16"/>
    </row>
    <row r="997">
      <c r="A997" s="16"/>
      <c r="B997" s="72"/>
      <c r="C997" s="26"/>
      <c r="D997" s="16"/>
    </row>
    <row r="998">
      <c r="A998" s="16"/>
      <c r="B998" s="72"/>
      <c r="C998" s="26"/>
      <c r="D998" s="16"/>
    </row>
    <row r="999">
      <c r="A999" s="16"/>
      <c r="B999" s="72"/>
      <c r="C999" s="26"/>
      <c r="D999" s="16"/>
    </row>
    <row r="1000">
      <c r="A1000" s="16"/>
      <c r="B1000" s="72"/>
      <c r="C1000" s="26"/>
      <c r="D1000" s="16"/>
    </row>
    <row r="1001">
      <c r="A1001" s="16"/>
      <c r="B1001" s="72"/>
      <c r="C1001" s="26"/>
      <c r="D1001" s="16"/>
    </row>
    <row r="1002">
      <c r="A1002" s="16"/>
      <c r="B1002" s="72"/>
      <c r="C1002" s="26"/>
      <c r="D1002" s="16"/>
    </row>
    <row r="1003">
      <c r="A1003" s="16"/>
      <c r="B1003" s="72"/>
      <c r="C1003" s="26"/>
      <c r="D1003" s="16"/>
    </row>
    <row r="1004">
      <c r="A1004" s="16"/>
      <c r="B1004" s="72"/>
      <c r="C1004" s="26"/>
      <c r="D1004" s="16"/>
    </row>
    <row r="1005">
      <c r="A1005" s="16"/>
      <c r="B1005" s="72"/>
      <c r="C1005" s="26"/>
      <c r="D1005" s="16"/>
    </row>
    <row r="1006">
      <c r="A1006" s="16"/>
      <c r="B1006" s="72"/>
      <c r="C1006" s="26"/>
      <c r="D1006" s="16"/>
    </row>
    <row r="1007">
      <c r="A1007" s="16"/>
      <c r="B1007" s="72"/>
      <c r="C1007" s="26"/>
      <c r="D1007" s="16"/>
    </row>
    <row r="1008">
      <c r="A1008" s="16"/>
      <c r="B1008" s="72"/>
      <c r="C1008" s="26"/>
      <c r="D1008" s="16"/>
    </row>
    <row r="1009">
      <c r="A1009" s="16"/>
      <c r="B1009" s="72"/>
      <c r="C1009" s="26"/>
      <c r="D1009" s="16"/>
    </row>
    <row r="1010">
      <c r="A1010" s="16"/>
      <c r="B1010" s="72"/>
      <c r="C1010" s="26"/>
      <c r="D1010" s="16"/>
    </row>
    <row r="1011">
      <c r="A1011" s="16"/>
      <c r="B1011" s="72"/>
      <c r="C1011" s="26"/>
      <c r="D1011" s="16"/>
    </row>
    <row r="1012">
      <c r="A1012" s="16"/>
      <c r="B1012" s="72"/>
      <c r="C1012" s="26"/>
      <c r="D1012" s="16"/>
    </row>
    <row r="1013">
      <c r="A1013" s="16"/>
      <c r="B1013" s="72"/>
      <c r="C1013" s="26"/>
      <c r="D1013" s="16"/>
    </row>
    <row r="1014">
      <c r="A1014" s="16"/>
      <c r="B1014" s="72"/>
      <c r="C1014" s="26"/>
      <c r="D1014" s="16"/>
    </row>
    <row r="1015">
      <c r="A1015" s="16"/>
      <c r="B1015" s="72"/>
      <c r="C1015" s="26"/>
      <c r="D1015" s="16"/>
    </row>
    <row r="1016">
      <c r="A1016" s="16"/>
      <c r="B1016" s="72"/>
      <c r="C1016" s="26"/>
      <c r="D1016" s="16"/>
    </row>
    <row r="1017">
      <c r="A1017" s="16"/>
      <c r="B1017" s="72"/>
      <c r="C1017" s="26"/>
      <c r="D1017" s="16"/>
    </row>
    <row r="1018">
      <c r="A1018" s="16"/>
      <c r="B1018" s="72"/>
      <c r="C1018" s="26"/>
      <c r="D1018" s="16"/>
    </row>
    <row r="1019">
      <c r="A1019" s="16"/>
      <c r="B1019" s="72"/>
      <c r="C1019" s="26"/>
      <c r="D1019" s="16"/>
    </row>
    <row r="1020">
      <c r="A1020" s="16"/>
      <c r="B1020" s="72"/>
      <c r="C1020" s="26"/>
      <c r="D1020" s="16"/>
    </row>
    <row r="1021">
      <c r="A1021" s="16"/>
      <c r="B1021" s="72"/>
      <c r="C1021" s="26"/>
      <c r="D1021" s="16"/>
    </row>
    <row r="1022">
      <c r="A1022" s="16"/>
      <c r="B1022" s="72"/>
      <c r="C1022" s="26"/>
      <c r="D1022" s="16"/>
    </row>
    <row r="1023">
      <c r="A1023" s="16"/>
      <c r="B1023" s="72"/>
      <c r="C1023" s="26"/>
      <c r="D1023" s="16"/>
    </row>
    <row r="1024">
      <c r="A1024" s="16"/>
      <c r="B1024" s="72"/>
      <c r="C1024" s="26"/>
      <c r="D1024" s="16"/>
    </row>
    <row r="1025">
      <c r="A1025" s="16"/>
      <c r="B1025" s="72"/>
      <c r="C1025" s="26"/>
      <c r="D1025" s="16"/>
    </row>
    <row r="1026">
      <c r="A1026" s="16"/>
      <c r="B1026" s="72"/>
      <c r="C1026" s="26"/>
      <c r="D1026" s="16"/>
    </row>
    <row r="1027">
      <c r="A1027" s="16"/>
      <c r="B1027" s="72"/>
      <c r="C1027" s="26"/>
      <c r="D1027" s="16"/>
    </row>
    <row r="1028">
      <c r="A1028" s="16"/>
      <c r="B1028" s="72"/>
      <c r="C1028" s="26"/>
      <c r="D1028" s="16"/>
    </row>
    <row r="1029">
      <c r="A1029" s="16"/>
      <c r="B1029" s="72"/>
      <c r="C1029" s="26"/>
      <c r="D1029" s="16"/>
    </row>
    <row r="1030">
      <c r="A1030" s="16"/>
      <c r="B1030" s="72"/>
      <c r="C1030" s="26"/>
      <c r="D1030" s="16"/>
    </row>
    <row r="1031">
      <c r="A1031" s="16"/>
      <c r="B1031" s="72"/>
      <c r="C1031" s="26"/>
      <c r="D1031" s="16"/>
    </row>
    <row r="1032">
      <c r="A1032" s="16"/>
      <c r="B1032" s="72"/>
      <c r="C1032" s="26"/>
      <c r="D1032" s="16"/>
    </row>
    <row r="1033">
      <c r="A1033" s="16"/>
      <c r="B1033" s="72"/>
      <c r="C1033" s="26"/>
      <c r="D1033" s="16"/>
    </row>
    <row r="1034">
      <c r="A1034" s="16"/>
      <c r="B1034" s="72"/>
      <c r="C1034" s="26"/>
      <c r="D1034" s="16"/>
    </row>
    <row r="1035">
      <c r="A1035" s="16"/>
      <c r="B1035" s="72"/>
      <c r="C1035" s="26"/>
      <c r="D1035" s="16"/>
    </row>
    <row r="1036">
      <c r="A1036" s="16"/>
      <c r="B1036" s="72"/>
      <c r="C1036" s="26"/>
      <c r="D1036" s="16"/>
    </row>
    <row r="1037">
      <c r="A1037" s="16"/>
      <c r="B1037" s="72"/>
      <c r="C1037" s="26"/>
      <c r="D1037" s="16"/>
    </row>
    <row r="1038">
      <c r="A1038" s="16"/>
      <c r="B1038" s="72"/>
      <c r="C1038" s="26"/>
      <c r="D1038" s="16"/>
    </row>
    <row r="1039">
      <c r="A1039" s="16"/>
      <c r="B1039" s="72"/>
      <c r="C1039" s="26"/>
      <c r="D1039" s="16"/>
    </row>
    <row r="1040">
      <c r="A1040" s="16"/>
      <c r="B1040" s="72"/>
      <c r="C1040" s="26"/>
      <c r="D1040" s="16"/>
    </row>
    <row r="1041">
      <c r="A1041" s="16"/>
      <c r="B1041" s="72"/>
      <c r="C1041" s="26"/>
      <c r="D1041" s="16"/>
    </row>
    <row r="1042">
      <c r="A1042" s="16"/>
      <c r="B1042" s="72"/>
      <c r="C1042" s="26"/>
      <c r="D1042" s="16"/>
    </row>
    <row r="1043">
      <c r="A1043" s="16"/>
      <c r="B1043" s="72"/>
      <c r="C1043" s="26"/>
      <c r="D1043" s="16"/>
    </row>
    <row r="1044">
      <c r="A1044" s="16"/>
      <c r="B1044" s="72"/>
      <c r="C1044" s="26"/>
      <c r="D1044" s="16"/>
    </row>
    <row r="1045">
      <c r="A1045" s="16"/>
      <c r="B1045" s="72"/>
      <c r="C1045" s="26"/>
      <c r="D1045" s="16"/>
    </row>
    <row r="1046">
      <c r="A1046" s="16"/>
      <c r="B1046" s="72"/>
      <c r="C1046" s="26"/>
      <c r="D1046" s="16"/>
    </row>
    <row r="1047">
      <c r="A1047" s="16"/>
      <c r="B1047" s="72"/>
      <c r="C1047" s="26"/>
      <c r="D1047" s="16"/>
    </row>
    <row r="1048">
      <c r="A1048" s="16"/>
      <c r="B1048" s="72"/>
      <c r="C1048" s="26"/>
      <c r="D1048" s="16"/>
    </row>
    <row r="1049">
      <c r="A1049" s="16"/>
      <c r="B1049" s="72"/>
      <c r="C1049" s="26"/>
      <c r="D1049" s="16"/>
    </row>
    <row r="1050">
      <c r="A1050" s="16"/>
      <c r="B1050" s="72"/>
      <c r="C1050" s="26"/>
      <c r="D1050" s="16"/>
    </row>
    <row r="1051">
      <c r="A1051" s="16"/>
      <c r="B1051" s="72"/>
      <c r="C1051" s="26"/>
      <c r="D1051" s="16"/>
    </row>
    <row r="1052">
      <c r="A1052" s="16"/>
      <c r="B1052" s="72"/>
      <c r="C1052" s="26"/>
      <c r="D1052" s="16"/>
    </row>
    <row r="1053">
      <c r="A1053" s="16"/>
      <c r="B1053" s="72"/>
      <c r="C1053" s="26"/>
      <c r="D1053" s="16"/>
    </row>
    <row r="1054">
      <c r="A1054" s="16"/>
      <c r="B1054" s="72"/>
      <c r="C1054" s="26"/>
      <c r="D1054" s="16"/>
    </row>
    <row r="1055">
      <c r="A1055" s="16"/>
      <c r="B1055" s="72"/>
      <c r="C1055" s="26"/>
      <c r="D1055" s="16"/>
    </row>
    <row r="1056">
      <c r="A1056" s="16"/>
      <c r="B1056" s="72"/>
      <c r="C1056" s="26"/>
      <c r="D1056" s="16"/>
    </row>
    <row r="1057">
      <c r="A1057" s="16"/>
      <c r="B1057" s="72"/>
      <c r="C1057" s="26"/>
      <c r="D1057" s="16"/>
    </row>
    <row r="1058">
      <c r="A1058" s="16"/>
      <c r="B1058" s="72"/>
      <c r="C1058" s="26"/>
      <c r="D1058" s="16"/>
    </row>
    <row r="1059">
      <c r="A1059" s="16"/>
      <c r="B1059" s="72"/>
      <c r="C1059" s="26"/>
      <c r="D1059" s="16"/>
    </row>
    <row r="1060">
      <c r="A1060" s="16"/>
      <c r="B1060" s="72"/>
      <c r="C1060" s="26"/>
      <c r="D1060" s="16"/>
    </row>
    <row r="1061">
      <c r="A1061" s="16"/>
      <c r="B1061" s="72"/>
      <c r="C1061" s="26"/>
      <c r="D1061" s="16"/>
    </row>
    <row r="1062">
      <c r="A1062" s="16"/>
      <c r="B1062" s="72"/>
      <c r="C1062" s="26"/>
      <c r="D1062" s="16"/>
    </row>
    <row r="1063">
      <c r="A1063" s="16"/>
      <c r="B1063" s="72"/>
      <c r="C1063" s="26"/>
      <c r="D1063" s="16"/>
    </row>
    <row r="1064">
      <c r="A1064" s="16"/>
      <c r="B1064" s="72"/>
      <c r="C1064" s="26"/>
      <c r="D1064" s="16"/>
    </row>
    <row r="1065">
      <c r="A1065" s="16"/>
      <c r="B1065" s="72"/>
      <c r="C1065" s="26"/>
      <c r="D1065" s="16"/>
    </row>
    <row r="1066">
      <c r="A1066" s="16"/>
      <c r="B1066" s="72"/>
      <c r="C1066" s="26"/>
      <c r="D1066" s="16"/>
    </row>
    <row r="1067">
      <c r="A1067" s="16"/>
      <c r="B1067" s="72"/>
      <c r="C1067" s="26"/>
      <c r="D1067" s="16"/>
    </row>
    <row r="1068">
      <c r="A1068" s="16"/>
      <c r="B1068" s="72"/>
      <c r="C1068" s="26"/>
      <c r="D1068" s="16"/>
    </row>
    <row r="1069">
      <c r="A1069" s="16"/>
      <c r="B1069" s="72"/>
      <c r="C1069" s="26"/>
      <c r="D1069" s="16"/>
    </row>
    <row r="1070">
      <c r="A1070" s="16"/>
      <c r="B1070" s="72"/>
      <c r="C1070" s="26"/>
      <c r="D1070" s="16"/>
    </row>
    <row r="1071">
      <c r="A1071" s="16"/>
      <c r="B1071" s="72"/>
      <c r="C1071" s="26"/>
      <c r="D1071" s="16"/>
    </row>
    <row r="1072">
      <c r="A1072" s="16"/>
      <c r="B1072" s="72"/>
      <c r="C1072" s="26"/>
      <c r="D1072" s="16"/>
    </row>
    <row r="1073">
      <c r="A1073" s="16"/>
      <c r="B1073" s="72"/>
      <c r="C1073" s="26"/>
      <c r="D1073" s="16"/>
    </row>
    <row r="1074">
      <c r="A1074" s="16"/>
      <c r="B1074" s="72"/>
      <c r="C1074" s="26"/>
      <c r="D1074" s="16"/>
    </row>
    <row r="1075">
      <c r="A1075" s="16"/>
      <c r="B1075" s="72"/>
      <c r="C1075" s="26"/>
      <c r="D1075" s="16"/>
    </row>
    <row r="1076">
      <c r="A1076" s="16"/>
      <c r="B1076" s="72"/>
      <c r="C1076" s="26"/>
      <c r="D1076" s="16"/>
    </row>
    <row r="1077">
      <c r="A1077" s="16"/>
      <c r="B1077" s="72"/>
      <c r="C1077" s="26"/>
      <c r="D1077" s="16"/>
    </row>
    <row r="1078">
      <c r="A1078" s="16"/>
      <c r="B1078" s="72"/>
      <c r="C1078" s="26"/>
      <c r="D1078" s="16"/>
    </row>
    <row r="1079">
      <c r="A1079" s="16"/>
      <c r="B1079" s="72"/>
      <c r="C1079" s="26"/>
      <c r="D1079" s="16"/>
    </row>
    <row r="1080">
      <c r="A1080" s="16"/>
      <c r="B1080" s="72"/>
      <c r="C1080" s="26"/>
      <c r="D1080" s="16"/>
    </row>
    <row r="1081">
      <c r="A1081" s="16"/>
      <c r="B1081" s="72"/>
      <c r="C1081" s="26"/>
      <c r="D1081" s="16"/>
    </row>
    <row r="1082">
      <c r="A1082" s="16"/>
      <c r="B1082" s="72"/>
      <c r="C1082" s="26"/>
      <c r="D1082" s="16"/>
    </row>
    <row r="1083">
      <c r="A1083" s="16"/>
      <c r="B1083" s="72"/>
      <c r="C1083" s="26"/>
      <c r="D1083" s="16"/>
    </row>
    <row r="1084">
      <c r="A1084" s="16"/>
      <c r="B1084" s="72"/>
      <c r="C1084" s="26"/>
      <c r="D1084" s="16"/>
    </row>
    <row r="1085">
      <c r="A1085" s="16"/>
      <c r="B1085" s="72"/>
      <c r="C1085" s="26"/>
      <c r="D1085" s="16"/>
    </row>
    <row r="1086">
      <c r="A1086" s="16"/>
      <c r="B1086" s="72"/>
      <c r="C1086" s="26"/>
      <c r="D1086" s="16"/>
    </row>
    <row r="1087">
      <c r="A1087" s="16"/>
      <c r="B1087" s="72"/>
      <c r="C1087" s="26"/>
      <c r="D1087" s="16"/>
    </row>
    <row r="1088">
      <c r="A1088" s="16"/>
      <c r="B1088" s="72"/>
      <c r="C1088" s="26"/>
      <c r="D1088" s="16"/>
    </row>
    <row r="1089">
      <c r="A1089" s="16"/>
      <c r="B1089" s="72"/>
      <c r="C1089" s="26"/>
      <c r="D1089" s="16"/>
    </row>
    <row r="1090">
      <c r="A1090" s="16"/>
      <c r="B1090" s="72"/>
      <c r="C1090" s="26"/>
      <c r="D1090" s="16"/>
    </row>
    <row r="1091">
      <c r="A1091" s="16"/>
      <c r="B1091" s="72"/>
      <c r="C1091" s="26"/>
      <c r="D1091" s="16"/>
    </row>
    <row r="1092">
      <c r="A1092" s="16"/>
      <c r="B1092" s="72"/>
      <c r="C1092" s="26"/>
      <c r="D1092" s="16"/>
    </row>
    <row r="1093">
      <c r="A1093" s="16"/>
      <c r="B1093" s="72"/>
      <c r="C1093" s="26"/>
      <c r="D1093" s="16"/>
    </row>
    <row r="1094">
      <c r="A1094" s="16"/>
      <c r="B1094" s="72"/>
      <c r="C1094" s="26"/>
      <c r="D1094" s="16"/>
    </row>
    <row r="1095">
      <c r="A1095" s="16"/>
      <c r="B1095" s="72"/>
      <c r="C1095" s="26"/>
      <c r="D1095" s="16"/>
    </row>
    <row r="1096">
      <c r="A1096" s="16"/>
      <c r="B1096" s="72"/>
      <c r="C1096" s="26"/>
      <c r="D1096" s="16"/>
    </row>
    <row r="1097">
      <c r="A1097" s="16"/>
      <c r="B1097" s="72"/>
      <c r="C1097" s="26"/>
      <c r="D1097" s="16"/>
    </row>
    <row r="1098">
      <c r="A1098" s="16"/>
      <c r="B1098" s="72"/>
      <c r="C1098" s="26"/>
      <c r="D1098" s="16"/>
    </row>
    <row r="1099">
      <c r="A1099" s="16"/>
      <c r="B1099" s="72"/>
      <c r="C1099" s="26"/>
      <c r="D1099" s="16"/>
    </row>
    <row r="1100">
      <c r="A1100" s="16"/>
      <c r="B1100" s="72"/>
      <c r="C1100" s="26"/>
      <c r="D1100" s="16"/>
    </row>
    <row r="1101">
      <c r="A1101" s="16"/>
      <c r="B1101" s="72"/>
      <c r="C1101" s="26"/>
      <c r="D1101" s="16"/>
    </row>
    <row r="1102">
      <c r="A1102" s="16"/>
      <c r="B1102" s="72"/>
      <c r="C1102" s="26"/>
      <c r="D1102" s="16"/>
    </row>
    <row r="1103">
      <c r="A1103" s="16"/>
      <c r="B1103" s="72"/>
      <c r="C1103" s="26"/>
      <c r="D1103" s="16"/>
    </row>
    <row r="1104">
      <c r="A1104" s="16"/>
      <c r="B1104" s="72"/>
      <c r="C1104" s="26"/>
      <c r="D1104" s="16"/>
    </row>
    <row r="1105">
      <c r="A1105" s="16"/>
      <c r="B1105" s="72"/>
      <c r="C1105" s="26"/>
      <c r="D1105" s="16"/>
    </row>
    <row r="1106">
      <c r="A1106" s="16"/>
      <c r="B1106" s="72"/>
      <c r="C1106" s="26"/>
      <c r="D1106" s="16"/>
    </row>
    <row r="1107">
      <c r="A1107" s="16"/>
      <c r="B1107" s="72"/>
      <c r="C1107" s="26"/>
      <c r="D1107" s="16"/>
    </row>
    <row r="1108">
      <c r="A1108" s="16"/>
      <c r="B1108" s="72"/>
      <c r="C1108" s="26"/>
      <c r="D1108" s="16"/>
    </row>
    <row r="1109">
      <c r="A1109" s="16"/>
      <c r="B1109" s="72"/>
      <c r="C1109" s="26"/>
      <c r="D1109" s="16"/>
    </row>
    <row r="1110">
      <c r="A1110" s="16"/>
      <c r="B1110" s="72"/>
      <c r="C1110" s="26"/>
      <c r="D1110" s="16"/>
    </row>
    <row r="1111">
      <c r="A1111" s="16"/>
      <c r="B1111" s="72"/>
      <c r="C1111" s="26"/>
      <c r="D1111" s="16"/>
    </row>
    <row r="1112">
      <c r="A1112" s="16"/>
      <c r="B1112" s="72"/>
      <c r="C1112" s="26"/>
      <c r="D1112" s="16"/>
    </row>
    <row r="1113">
      <c r="A1113" s="16"/>
      <c r="B1113" s="72"/>
      <c r="C1113" s="26"/>
      <c r="D1113" s="16"/>
    </row>
    <row r="1114">
      <c r="A1114" s="16"/>
      <c r="B1114" s="72"/>
      <c r="C1114" s="26"/>
      <c r="D1114" s="16"/>
    </row>
    <row r="1115">
      <c r="A1115" s="16"/>
      <c r="B1115" s="72"/>
      <c r="C1115" s="26"/>
      <c r="D1115" s="16"/>
    </row>
    <row r="1116">
      <c r="A1116" s="16"/>
      <c r="B1116" s="72"/>
      <c r="C1116" s="26"/>
      <c r="D1116" s="16"/>
    </row>
    <row r="1117">
      <c r="A1117" s="16"/>
      <c r="B1117" s="72"/>
      <c r="C1117" s="26"/>
      <c r="D1117" s="16"/>
    </row>
    <row r="1118">
      <c r="A1118" s="16"/>
      <c r="B1118" s="72"/>
      <c r="C1118" s="26"/>
      <c r="D1118" s="16"/>
    </row>
    <row r="1119">
      <c r="A1119" s="16"/>
      <c r="B1119" s="72"/>
      <c r="C1119" s="26"/>
      <c r="D1119" s="16"/>
    </row>
    <row r="1120">
      <c r="A1120" s="16"/>
      <c r="B1120" s="72"/>
      <c r="C1120" s="26"/>
      <c r="D1120" s="16"/>
    </row>
    <row r="1121">
      <c r="A1121" s="16"/>
      <c r="B1121" s="72"/>
      <c r="C1121" s="26"/>
      <c r="D1121" s="16"/>
    </row>
    <row r="1122">
      <c r="A1122" s="16"/>
      <c r="B1122" s="72"/>
      <c r="C1122" s="26"/>
      <c r="D1122" s="16"/>
    </row>
    <row r="1123">
      <c r="A1123" s="16"/>
      <c r="B1123" s="72"/>
      <c r="C1123" s="26"/>
      <c r="D1123" s="16"/>
    </row>
    <row r="1124">
      <c r="A1124" s="16"/>
      <c r="B1124" s="72"/>
      <c r="C1124" s="26"/>
      <c r="D1124" s="16"/>
    </row>
    <row r="1125">
      <c r="A1125" s="16"/>
      <c r="B1125" s="72"/>
      <c r="C1125" s="26"/>
      <c r="D1125" s="16"/>
    </row>
    <row r="1126">
      <c r="A1126" s="16"/>
      <c r="B1126" s="72"/>
      <c r="C1126" s="26"/>
      <c r="D1126" s="16"/>
    </row>
    <row r="1127">
      <c r="A1127" s="16"/>
      <c r="B1127" s="72"/>
      <c r="C1127" s="26"/>
      <c r="D1127" s="16"/>
    </row>
    <row r="1128">
      <c r="A1128" s="16"/>
      <c r="B1128" s="72"/>
      <c r="C1128" s="26"/>
      <c r="D1128" s="16"/>
    </row>
    <row r="1129">
      <c r="A1129" s="16"/>
      <c r="B1129" s="72"/>
      <c r="C1129" s="26"/>
      <c r="D1129" s="16"/>
    </row>
    <row r="1130">
      <c r="A1130" s="16"/>
      <c r="B1130" s="72"/>
      <c r="C1130" s="26"/>
      <c r="D1130" s="16"/>
    </row>
    <row r="1131">
      <c r="A1131" s="16"/>
      <c r="B1131" s="72"/>
      <c r="C1131" s="26"/>
      <c r="D1131" s="16"/>
    </row>
    <row r="1132">
      <c r="A1132" s="16"/>
      <c r="B1132" s="72"/>
      <c r="C1132" s="26"/>
      <c r="D1132" s="16"/>
    </row>
    <row r="1133">
      <c r="A1133" s="16"/>
      <c r="B1133" s="72"/>
      <c r="C1133" s="26"/>
      <c r="D1133" s="16"/>
    </row>
    <row r="1134">
      <c r="A1134" s="16"/>
      <c r="B1134" s="72"/>
      <c r="C1134" s="26"/>
      <c r="D1134" s="16"/>
    </row>
    <row r="1135">
      <c r="A1135" s="16"/>
      <c r="B1135" s="72"/>
      <c r="C1135" s="26"/>
      <c r="D1135" s="16"/>
    </row>
    <row r="1136">
      <c r="A1136" s="16"/>
      <c r="B1136" s="72"/>
      <c r="C1136" s="26"/>
      <c r="D1136" s="16"/>
    </row>
    <row r="1137">
      <c r="A1137" s="16"/>
      <c r="B1137" s="72"/>
      <c r="C1137" s="26"/>
      <c r="D1137" s="16"/>
    </row>
    <row r="1138">
      <c r="A1138" s="16"/>
      <c r="B1138" s="72"/>
      <c r="C1138" s="26"/>
      <c r="D1138" s="16"/>
    </row>
    <row r="1139">
      <c r="A1139" s="16"/>
      <c r="B1139" s="72"/>
      <c r="C1139" s="26"/>
      <c r="D1139" s="16"/>
    </row>
    <row r="1140">
      <c r="A1140" s="16"/>
      <c r="B1140" s="72"/>
      <c r="C1140" s="26"/>
      <c r="D1140" s="16"/>
    </row>
    <row r="1141">
      <c r="A1141" s="16"/>
      <c r="B1141" s="72"/>
      <c r="C1141" s="26"/>
      <c r="D1141" s="16"/>
    </row>
    <row r="1142">
      <c r="A1142" s="16"/>
      <c r="B1142" s="72"/>
      <c r="C1142" s="26"/>
      <c r="D1142" s="16"/>
    </row>
    <row r="1143">
      <c r="A1143" s="16"/>
      <c r="B1143" s="72"/>
      <c r="C1143" s="26"/>
      <c r="D1143" s="16"/>
    </row>
    <row r="1144">
      <c r="A1144" s="16"/>
      <c r="B1144" s="72"/>
      <c r="C1144" s="26"/>
      <c r="D1144" s="16"/>
    </row>
    <row r="1145">
      <c r="A1145" s="16"/>
      <c r="B1145" s="72"/>
      <c r="C1145" s="26"/>
      <c r="D1145" s="16"/>
    </row>
    <row r="1146">
      <c r="A1146" s="16"/>
      <c r="B1146" s="72"/>
      <c r="C1146" s="26"/>
      <c r="D1146" s="16"/>
    </row>
    <row r="1147">
      <c r="A1147" s="16"/>
      <c r="B1147" s="72"/>
      <c r="C1147" s="26"/>
      <c r="D1147" s="16"/>
    </row>
    <row r="1148">
      <c r="A1148" s="16"/>
      <c r="B1148" s="72"/>
      <c r="C1148" s="26"/>
      <c r="D1148" s="16"/>
    </row>
    <row r="1149">
      <c r="A1149" s="16"/>
      <c r="B1149" s="72"/>
      <c r="C1149" s="26"/>
      <c r="D1149" s="16"/>
    </row>
    <row r="1150">
      <c r="A1150" s="16"/>
      <c r="B1150" s="72"/>
      <c r="C1150" s="26"/>
      <c r="D1150" s="16"/>
    </row>
    <row r="1151">
      <c r="A1151" s="16"/>
      <c r="B1151" s="72"/>
      <c r="C1151" s="26"/>
      <c r="D1151" s="16"/>
    </row>
    <row r="1152">
      <c r="A1152" s="16"/>
      <c r="B1152" s="72"/>
      <c r="C1152" s="26"/>
      <c r="D1152" s="16"/>
    </row>
    <row r="1153">
      <c r="A1153" s="16"/>
      <c r="B1153" s="72"/>
      <c r="C1153" s="26"/>
      <c r="D1153" s="16"/>
    </row>
    <row r="1154">
      <c r="A1154" s="16"/>
      <c r="B1154" s="72"/>
      <c r="C1154" s="26"/>
      <c r="D1154" s="16"/>
    </row>
    <row r="1155">
      <c r="A1155" s="16"/>
      <c r="B1155" s="72"/>
      <c r="C1155" s="26"/>
      <c r="D1155" s="16"/>
    </row>
    <row r="1156">
      <c r="A1156" s="16"/>
      <c r="B1156" s="72"/>
      <c r="C1156" s="26"/>
      <c r="D1156" s="16"/>
    </row>
    <row r="1157">
      <c r="A1157" s="16"/>
      <c r="B1157" s="72"/>
      <c r="C1157" s="26"/>
      <c r="D1157" s="16"/>
    </row>
    <row r="1158">
      <c r="A1158" s="16"/>
      <c r="B1158" s="72"/>
      <c r="C1158" s="26"/>
      <c r="D1158" s="16"/>
    </row>
    <row r="1159">
      <c r="A1159" s="16"/>
      <c r="B1159" s="72"/>
      <c r="C1159" s="26"/>
      <c r="D1159" s="16"/>
    </row>
    <row r="1160">
      <c r="A1160" s="16"/>
      <c r="B1160" s="72"/>
      <c r="C1160" s="26"/>
      <c r="D1160" s="16"/>
    </row>
    <row r="1161">
      <c r="A1161" s="16"/>
      <c r="B1161" s="72"/>
      <c r="C1161" s="26"/>
      <c r="D1161" s="16"/>
    </row>
    <row r="1162">
      <c r="A1162" s="16"/>
      <c r="B1162" s="72"/>
      <c r="C1162" s="26"/>
      <c r="D1162" s="16"/>
    </row>
    <row r="1163">
      <c r="A1163" s="16"/>
      <c r="B1163" s="72"/>
      <c r="C1163" s="26"/>
      <c r="D1163" s="16"/>
    </row>
    <row r="1164">
      <c r="A1164" s="16"/>
      <c r="B1164" s="72"/>
      <c r="C1164" s="26"/>
      <c r="D1164" s="16"/>
    </row>
    <row r="1165">
      <c r="A1165" s="16"/>
      <c r="B1165" s="72"/>
      <c r="C1165" s="26"/>
      <c r="D1165" s="16"/>
    </row>
    <row r="1166">
      <c r="A1166" s="16"/>
      <c r="B1166" s="72"/>
      <c r="C1166" s="26"/>
      <c r="D1166" s="16"/>
    </row>
    <row r="1167">
      <c r="A1167" s="16"/>
      <c r="B1167" s="72"/>
      <c r="C1167" s="26"/>
      <c r="D1167" s="16"/>
    </row>
    <row r="1168">
      <c r="A1168" s="16"/>
      <c r="B1168" s="72"/>
      <c r="C1168" s="26"/>
      <c r="D1168" s="16"/>
    </row>
    <row r="1169">
      <c r="A1169" s="16"/>
      <c r="B1169" s="72"/>
      <c r="C1169" s="26"/>
      <c r="D1169" s="16"/>
    </row>
    <row r="1170">
      <c r="A1170" s="16"/>
      <c r="B1170" s="72"/>
      <c r="C1170" s="26"/>
      <c r="D1170" s="16"/>
    </row>
    <row r="1171">
      <c r="A1171" s="16"/>
      <c r="B1171" s="72"/>
      <c r="C1171" s="26"/>
      <c r="D1171" s="16"/>
    </row>
    <row r="1172">
      <c r="A1172" s="16"/>
      <c r="B1172" s="72"/>
      <c r="C1172" s="26"/>
      <c r="D1172" s="16"/>
    </row>
    <row r="1173">
      <c r="A1173" s="16"/>
      <c r="B1173" s="72"/>
      <c r="C1173" s="26"/>
      <c r="D1173" s="16"/>
    </row>
    <row r="1174">
      <c r="A1174" s="16"/>
      <c r="B1174" s="72"/>
      <c r="C1174" s="26"/>
      <c r="D1174" s="16"/>
    </row>
    <row r="1175">
      <c r="A1175" s="16"/>
      <c r="B1175" s="72"/>
      <c r="C1175" s="26"/>
      <c r="D1175" s="16"/>
    </row>
    <row r="1176">
      <c r="A1176" s="16"/>
      <c r="B1176" s="72"/>
      <c r="C1176" s="26"/>
      <c r="D1176" s="16"/>
    </row>
    <row r="1177">
      <c r="A1177" s="16"/>
      <c r="B1177" s="72"/>
      <c r="C1177" s="26"/>
      <c r="D1177" s="16"/>
    </row>
    <row r="1178">
      <c r="A1178" s="16"/>
      <c r="B1178" s="72"/>
      <c r="C1178" s="26"/>
      <c r="D1178" s="16"/>
    </row>
    <row r="1179">
      <c r="A1179" s="16"/>
      <c r="B1179" s="72"/>
      <c r="C1179" s="26"/>
      <c r="D1179" s="16"/>
    </row>
    <row r="1180">
      <c r="A1180" s="16"/>
      <c r="B1180" s="72"/>
      <c r="C1180" s="26"/>
      <c r="D1180" s="16"/>
    </row>
    <row r="1181">
      <c r="A1181" s="16"/>
      <c r="B1181" s="72"/>
      <c r="C1181" s="26"/>
      <c r="D1181" s="16"/>
    </row>
    <row r="1182">
      <c r="A1182" s="16"/>
      <c r="B1182" s="72"/>
      <c r="C1182" s="26"/>
      <c r="D1182" s="16"/>
    </row>
    <row r="1183">
      <c r="A1183" s="16"/>
      <c r="B1183" s="72"/>
      <c r="C1183" s="26"/>
      <c r="D1183" s="16"/>
    </row>
    <row r="1184">
      <c r="A1184" s="16"/>
      <c r="B1184" s="72"/>
      <c r="C1184" s="26"/>
      <c r="D1184" s="16"/>
    </row>
    <row r="1185">
      <c r="A1185" s="16"/>
      <c r="B1185" s="72"/>
      <c r="C1185" s="26"/>
      <c r="D1185" s="16"/>
    </row>
    <row r="1186">
      <c r="A1186" s="16"/>
      <c r="B1186" s="72"/>
      <c r="C1186" s="26"/>
      <c r="D1186" s="16"/>
    </row>
    <row r="1187">
      <c r="A1187" s="16"/>
      <c r="B1187" s="72"/>
      <c r="C1187" s="26"/>
      <c r="D1187" s="16"/>
    </row>
    <row r="1188">
      <c r="A1188" s="16"/>
      <c r="B1188" s="72"/>
      <c r="C1188" s="26"/>
      <c r="D1188" s="16"/>
    </row>
    <row r="1189">
      <c r="A1189" s="16"/>
      <c r="B1189" s="72"/>
      <c r="C1189" s="26"/>
      <c r="D1189" s="16"/>
    </row>
    <row r="1190">
      <c r="A1190" s="16"/>
      <c r="B1190" s="72"/>
      <c r="C1190" s="26"/>
      <c r="D1190" s="16"/>
    </row>
    <row r="1191">
      <c r="A1191" s="16"/>
      <c r="B1191" s="72"/>
      <c r="C1191" s="26"/>
      <c r="D1191" s="16"/>
    </row>
    <row r="1192">
      <c r="A1192" s="16"/>
      <c r="B1192" s="72"/>
      <c r="C1192" s="26"/>
      <c r="D1192" s="16"/>
    </row>
    <row r="1193">
      <c r="A1193" s="16"/>
      <c r="B1193" s="72"/>
      <c r="C1193" s="26"/>
      <c r="D1193" s="16"/>
    </row>
    <row r="1194">
      <c r="A1194" s="16"/>
      <c r="B1194" s="72"/>
      <c r="C1194" s="26"/>
      <c r="D1194" s="16"/>
    </row>
    <row r="1195">
      <c r="A1195" s="16"/>
      <c r="B1195" s="72"/>
      <c r="C1195" s="26"/>
      <c r="D1195" s="16"/>
    </row>
    <row r="1196">
      <c r="A1196" s="16"/>
      <c r="B1196" s="72"/>
      <c r="C1196" s="26"/>
      <c r="D1196" s="16"/>
    </row>
    <row r="1197">
      <c r="A1197" s="16"/>
      <c r="B1197" s="72"/>
      <c r="C1197" s="26"/>
      <c r="D1197" s="16"/>
    </row>
    <row r="1198">
      <c r="A1198" s="16"/>
      <c r="B1198" s="72"/>
      <c r="C1198" s="26"/>
      <c r="D1198" s="16"/>
    </row>
    <row r="1199">
      <c r="A1199" s="16"/>
      <c r="B1199" s="72"/>
      <c r="C1199" s="26"/>
      <c r="D1199" s="16"/>
    </row>
    <row r="1200">
      <c r="A1200" s="16"/>
      <c r="B1200" s="72"/>
      <c r="C1200" s="26"/>
      <c r="D1200" s="16"/>
    </row>
    <row r="1201">
      <c r="A1201" s="16"/>
      <c r="B1201" s="72"/>
      <c r="C1201" s="26"/>
      <c r="D1201" s="16"/>
    </row>
    <row r="1202">
      <c r="A1202" s="16"/>
      <c r="B1202" s="72"/>
      <c r="C1202" s="26"/>
      <c r="D1202" s="16"/>
    </row>
    <row r="1203">
      <c r="A1203" s="16"/>
      <c r="B1203" s="72"/>
      <c r="C1203" s="26"/>
      <c r="D1203" s="16"/>
    </row>
    <row r="1204">
      <c r="A1204" s="16"/>
      <c r="B1204" s="72"/>
      <c r="C1204" s="26"/>
      <c r="D1204" s="16"/>
    </row>
    <row r="1205">
      <c r="A1205" s="16"/>
      <c r="B1205" s="72"/>
      <c r="C1205" s="26"/>
      <c r="D1205" s="16"/>
    </row>
    <row r="1206">
      <c r="A1206" s="16"/>
      <c r="B1206" s="72"/>
      <c r="C1206" s="26"/>
      <c r="D1206" s="16"/>
    </row>
    <row r="1207">
      <c r="A1207" s="16"/>
      <c r="B1207" s="72"/>
      <c r="C1207" s="26"/>
      <c r="D1207" s="16"/>
    </row>
    <row r="1208">
      <c r="A1208" s="16"/>
      <c r="B1208" s="72"/>
      <c r="C1208" s="26"/>
      <c r="D1208" s="16"/>
    </row>
    <row r="1209">
      <c r="A1209" s="16"/>
      <c r="B1209" s="72"/>
      <c r="C1209" s="26"/>
      <c r="D1209" s="16"/>
    </row>
    <row r="1210">
      <c r="A1210" s="16"/>
      <c r="B1210" s="72"/>
      <c r="C1210" s="26"/>
      <c r="D1210" s="16"/>
    </row>
    <row r="1211">
      <c r="A1211" s="16"/>
      <c r="B1211" s="72"/>
      <c r="C1211" s="26"/>
      <c r="D1211" s="16"/>
    </row>
    <row r="1212">
      <c r="A1212" s="16"/>
      <c r="B1212" s="72"/>
      <c r="C1212" s="26"/>
      <c r="D1212" s="16"/>
    </row>
    <row r="1213">
      <c r="A1213" s="16"/>
      <c r="B1213" s="72"/>
      <c r="C1213" s="26"/>
      <c r="D1213" s="16"/>
    </row>
    <row r="1214">
      <c r="A1214" s="16"/>
      <c r="B1214" s="72"/>
      <c r="C1214" s="26"/>
      <c r="D1214" s="16"/>
    </row>
    <row r="1215">
      <c r="A1215" s="16"/>
      <c r="B1215" s="72"/>
      <c r="C1215" s="26"/>
      <c r="D1215" s="16"/>
    </row>
    <row r="1216">
      <c r="A1216" s="16"/>
      <c r="B1216" s="72"/>
      <c r="C1216" s="26"/>
      <c r="D1216" s="16"/>
    </row>
    <row r="1217">
      <c r="A1217" s="16"/>
      <c r="B1217" s="72"/>
      <c r="C1217" s="26"/>
      <c r="D1217" s="16"/>
    </row>
    <row r="1218">
      <c r="A1218" s="16"/>
      <c r="B1218" s="72"/>
      <c r="C1218" s="26"/>
      <c r="D1218" s="16"/>
    </row>
    <row r="1219">
      <c r="A1219" s="16"/>
      <c r="B1219" s="72"/>
      <c r="C1219" s="26"/>
      <c r="D1219" s="16"/>
    </row>
    <row r="1220">
      <c r="A1220" s="16"/>
      <c r="B1220" s="72"/>
      <c r="C1220" s="26"/>
      <c r="D1220" s="16"/>
    </row>
    <row r="1221">
      <c r="A1221" s="16"/>
      <c r="B1221" s="72"/>
      <c r="C1221" s="26"/>
      <c r="D1221" s="16"/>
    </row>
    <row r="1222">
      <c r="A1222" s="16"/>
      <c r="B1222" s="72"/>
      <c r="C1222" s="26"/>
      <c r="D1222" s="16"/>
    </row>
    <row r="1223">
      <c r="A1223" s="16"/>
      <c r="B1223" s="72"/>
      <c r="C1223" s="26"/>
      <c r="D1223" s="16"/>
    </row>
    <row r="1224">
      <c r="A1224" s="16"/>
      <c r="B1224" s="72"/>
      <c r="C1224" s="26"/>
      <c r="D1224" s="16"/>
    </row>
    <row r="1225">
      <c r="A1225" s="16"/>
      <c r="B1225" s="72"/>
      <c r="C1225" s="26"/>
      <c r="D1225" s="16"/>
    </row>
    <row r="1226">
      <c r="A1226" s="16"/>
      <c r="B1226" s="72"/>
      <c r="C1226" s="26"/>
      <c r="D1226" s="16"/>
    </row>
    <row r="1227">
      <c r="A1227" s="16"/>
      <c r="B1227" s="72"/>
      <c r="C1227" s="26"/>
      <c r="D1227" s="16"/>
    </row>
    <row r="1228">
      <c r="A1228" s="16"/>
      <c r="B1228" s="72"/>
      <c r="C1228" s="26"/>
      <c r="D1228" s="16"/>
    </row>
    <row r="1229">
      <c r="A1229" s="16"/>
      <c r="B1229" s="72"/>
      <c r="C1229" s="26"/>
      <c r="D1229" s="16"/>
    </row>
    <row r="1230">
      <c r="A1230" s="16"/>
      <c r="B1230" s="72"/>
      <c r="C1230" s="26"/>
      <c r="D1230" s="16"/>
    </row>
    <row r="1231">
      <c r="A1231" s="16"/>
      <c r="B1231" s="72"/>
      <c r="C1231" s="26"/>
      <c r="D1231" s="16"/>
    </row>
    <row r="1232">
      <c r="A1232" s="16"/>
      <c r="B1232" s="72"/>
      <c r="C1232" s="26"/>
      <c r="D1232" s="16"/>
    </row>
    <row r="1233">
      <c r="A1233" s="16"/>
      <c r="B1233" s="72"/>
      <c r="C1233" s="26"/>
      <c r="D1233" s="16"/>
    </row>
    <row r="1234">
      <c r="A1234" s="16"/>
      <c r="B1234" s="72"/>
      <c r="C1234" s="26"/>
      <c r="D1234" s="16"/>
    </row>
    <row r="1235">
      <c r="A1235" s="16"/>
      <c r="B1235" s="72"/>
      <c r="C1235" s="26"/>
      <c r="D1235" s="16"/>
    </row>
    <row r="1236">
      <c r="A1236" s="16"/>
      <c r="B1236" s="72"/>
      <c r="C1236" s="26"/>
      <c r="D1236" s="16"/>
    </row>
    <row r="1237">
      <c r="A1237" s="16"/>
      <c r="B1237" s="72"/>
      <c r="C1237" s="26"/>
      <c r="D1237" s="16"/>
    </row>
    <row r="1238">
      <c r="A1238" s="16"/>
      <c r="B1238" s="72"/>
      <c r="C1238" s="26"/>
      <c r="D1238" s="16"/>
    </row>
    <row r="1239">
      <c r="A1239" s="16"/>
      <c r="B1239" s="72"/>
      <c r="C1239" s="26"/>
      <c r="D1239" s="16"/>
    </row>
    <row r="1240">
      <c r="A1240" s="16"/>
      <c r="B1240" s="72"/>
      <c r="C1240" s="26"/>
      <c r="D1240" s="16"/>
    </row>
    <row r="1241">
      <c r="A1241" s="16"/>
      <c r="B1241" s="72"/>
      <c r="C1241" s="26"/>
      <c r="D1241" s="16"/>
    </row>
    <row r="1242">
      <c r="A1242" s="16"/>
      <c r="B1242" s="72"/>
      <c r="C1242" s="26"/>
      <c r="D1242" s="16"/>
    </row>
    <row r="1243">
      <c r="A1243" s="16"/>
      <c r="B1243" s="72"/>
      <c r="C1243" s="26"/>
      <c r="D1243" s="16"/>
    </row>
    <row r="1244">
      <c r="A1244" s="16"/>
      <c r="B1244" s="72"/>
      <c r="C1244" s="26"/>
      <c r="D1244" s="16"/>
    </row>
    <row r="1245">
      <c r="A1245" s="16"/>
      <c r="B1245" s="72"/>
      <c r="C1245" s="26"/>
      <c r="D1245" s="16"/>
    </row>
    <row r="1246">
      <c r="A1246" s="16"/>
      <c r="B1246" s="72"/>
      <c r="C1246" s="26"/>
      <c r="D1246" s="16"/>
    </row>
    <row r="1247">
      <c r="A1247" s="16"/>
      <c r="B1247" s="72"/>
      <c r="C1247" s="26"/>
      <c r="D1247" s="16"/>
    </row>
    <row r="1248">
      <c r="A1248" s="16"/>
      <c r="B1248" s="72"/>
      <c r="C1248" s="26"/>
      <c r="D1248" s="16"/>
    </row>
    <row r="1249">
      <c r="A1249" s="16"/>
      <c r="B1249" s="72"/>
      <c r="C1249" s="26"/>
      <c r="D1249" s="16"/>
    </row>
    <row r="1250">
      <c r="A1250" s="16"/>
      <c r="B1250" s="72"/>
      <c r="C1250" s="26"/>
      <c r="D1250" s="16"/>
    </row>
    <row r="1251">
      <c r="A1251" s="16"/>
      <c r="B1251" s="72"/>
      <c r="C1251" s="26"/>
      <c r="D1251" s="16"/>
    </row>
    <row r="1252">
      <c r="A1252" s="16"/>
      <c r="B1252" s="72"/>
      <c r="C1252" s="26"/>
      <c r="D1252" s="16"/>
    </row>
    <row r="1253">
      <c r="A1253" s="16"/>
      <c r="B1253" s="72"/>
      <c r="C1253" s="26"/>
      <c r="D1253" s="16"/>
    </row>
    <row r="1254">
      <c r="A1254" s="16"/>
      <c r="B1254" s="72"/>
      <c r="C1254" s="26"/>
      <c r="D1254" s="16"/>
    </row>
    <row r="1255">
      <c r="A1255" s="16"/>
      <c r="B1255" s="72"/>
      <c r="C1255" s="26"/>
      <c r="D1255" s="16"/>
    </row>
    <row r="1256">
      <c r="A1256" s="16"/>
      <c r="B1256" s="72"/>
      <c r="C1256" s="26"/>
      <c r="D1256" s="16"/>
    </row>
    <row r="1257">
      <c r="A1257" s="16"/>
      <c r="B1257" s="72"/>
      <c r="C1257" s="26"/>
      <c r="D1257" s="16"/>
    </row>
    <row r="1258">
      <c r="A1258" s="16"/>
      <c r="B1258" s="72"/>
      <c r="C1258" s="26"/>
      <c r="D1258" s="16"/>
    </row>
    <row r="1259">
      <c r="A1259" s="16"/>
      <c r="B1259" s="72"/>
      <c r="C1259" s="26"/>
      <c r="D1259" s="16"/>
    </row>
    <row r="1260">
      <c r="A1260" s="16"/>
      <c r="B1260" s="72"/>
      <c r="C1260" s="26"/>
      <c r="D1260" s="16"/>
    </row>
    <row r="1261">
      <c r="A1261" s="16"/>
      <c r="B1261" s="72"/>
      <c r="C1261" s="26"/>
      <c r="D1261" s="16"/>
    </row>
    <row r="1262">
      <c r="A1262" s="16"/>
      <c r="B1262" s="72"/>
      <c r="C1262" s="26"/>
      <c r="D1262" s="16"/>
    </row>
    <row r="1263">
      <c r="A1263" s="16"/>
      <c r="B1263" s="72"/>
      <c r="C1263" s="26"/>
      <c r="D1263" s="16"/>
    </row>
    <row r="1264">
      <c r="A1264" s="16"/>
      <c r="B1264" s="72"/>
      <c r="C1264" s="26"/>
      <c r="D1264" s="16"/>
    </row>
    <row r="1265">
      <c r="A1265" s="16"/>
      <c r="B1265" s="72"/>
      <c r="C1265" s="26"/>
      <c r="D1265" s="16"/>
    </row>
    <row r="1266">
      <c r="A1266" s="16"/>
      <c r="B1266" s="72"/>
      <c r="C1266" s="26"/>
      <c r="D1266" s="16"/>
    </row>
    <row r="1267">
      <c r="A1267" s="16"/>
      <c r="B1267" s="72"/>
      <c r="C1267" s="26"/>
      <c r="D1267" s="16"/>
    </row>
    <row r="1268">
      <c r="A1268" s="16"/>
      <c r="B1268" s="72"/>
      <c r="C1268" s="26"/>
      <c r="D1268" s="16"/>
    </row>
    <row r="1269">
      <c r="A1269" s="16"/>
      <c r="B1269" s="72"/>
      <c r="C1269" s="26"/>
      <c r="D1269" s="16"/>
    </row>
    <row r="1270">
      <c r="A1270" s="16"/>
      <c r="B1270" s="72"/>
      <c r="C1270" s="26"/>
      <c r="D1270" s="16"/>
    </row>
    <row r="1271">
      <c r="A1271" s="16"/>
      <c r="B1271" s="72"/>
      <c r="C1271" s="26"/>
      <c r="D1271" s="16"/>
    </row>
    <row r="1272">
      <c r="A1272" s="16"/>
      <c r="B1272" s="72"/>
      <c r="C1272" s="26"/>
      <c r="D1272" s="16"/>
    </row>
    <row r="1273">
      <c r="A1273" s="16"/>
      <c r="B1273" s="72"/>
      <c r="C1273" s="26"/>
      <c r="D1273" s="16"/>
    </row>
    <row r="1274">
      <c r="A1274" s="16"/>
      <c r="B1274" s="72"/>
      <c r="C1274" s="26"/>
      <c r="D1274" s="16"/>
    </row>
    <row r="1275">
      <c r="A1275" s="16"/>
      <c r="B1275" s="72"/>
      <c r="C1275" s="26"/>
      <c r="D1275" s="16"/>
    </row>
    <row r="1276">
      <c r="A1276" s="16"/>
      <c r="B1276" s="72"/>
      <c r="C1276" s="26"/>
      <c r="D1276" s="16"/>
    </row>
    <row r="1277">
      <c r="A1277" s="16"/>
      <c r="B1277" s="72"/>
      <c r="C1277" s="26"/>
      <c r="D1277" s="16"/>
    </row>
    <row r="1278">
      <c r="A1278" s="16"/>
      <c r="B1278" s="72"/>
      <c r="C1278" s="26"/>
      <c r="D1278" s="16"/>
    </row>
    <row r="1279">
      <c r="A1279" s="16"/>
      <c r="B1279" s="72"/>
      <c r="C1279" s="26"/>
      <c r="D1279" s="16"/>
    </row>
    <row r="1280">
      <c r="A1280" s="16"/>
      <c r="B1280" s="72"/>
      <c r="C1280" s="26"/>
      <c r="D1280" s="16"/>
    </row>
    <row r="1281">
      <c r="A1281" s="16"/>
      <c r="B1281" s="72"/>
      <c r="C1281" s="26"/>
      <c r="D1281" s="16"/>
    </row>
    <row r="1282">
      <c r="A1282" s="16"/>
      <c r="B1282" s="72"/>
      <c r="C1282" s="26"/>
      <c r="D1282" s="16"/>
    </row>
    <row r="1283">
      <c r="A1283" s="16"/>
      <c r="B1283" s="72"/>
      <c r="C1283" s="26"/>
      <c r="D1283" s="16"/>
    </row>
    <row r="1284">
      <c r="A1284" s="16"/>
      <c r="B1284" s="72"/>
      <c r="C1284" s="26"/>
      <c r="D1284" s="16"/>
    </row>
    <row r="1285">
      <c r="A1285" s="16"/>
      <c r="B1285" s="72"/>
      <c r="C1285" s="26"/>
      <c r="D1285" s="16"/>
    </row>
    <row r="1286">
      <c r="A1286" s="16"/>
      <c r="B1286" s="72"/>
      <c r="C1286" s="26"/>
      <c r="D1286" s="16"/>
    </row>
    <row r="1287">
      <c r="A1287" s="16"/>
      <c r="B1287" s="72"/>
      <c r="C1287" s="26"/>
      <c r="D1287" s="16"/>
    </row>
    <row r="1288">
      <c r="A1288" s="16"/>
      <c r="B1288" s="72"/>
      <c r="C1288" s="26"/>
      <c r="D1288" s="16"/>
    </row>
    <row r="1289">
      <c r="A1289" s="16"/>
      <c r="B1289" s="72"/>
      <c r="C1289" s="26"/>
      <c r="D1289" s="16"/>
    </row>
    <row r="1290">
      <c r="A1290" s="16"/>
      <c r="B1290" s="72"/>
      <c r="C1290" s="26"/>
      <c r="D1290" s="16"/>
    </row>
    <row r="1291">
      <c r="A1291" s="16"/>
      <c r="B1291" s="72"/>
      <c r="C1291" s="26"/>
      <c r="D1291" s="16"/>
    </row>
    <row r="1292">
      <c r="A1292" s="16"/>
      <c r="B1292" s="72"/>
      <c r="C1292" s="26"/>
      <c r="D1292" s="16"/>
    </row>
    <row r="1293">
      <c r="A1293" s="16"/>
      <c r="B1293" s="72"/>
      <c r="C1293" s="26"/>
      <c r="D1293" s="16"/>
    </row>
    <row r="1294">
      <c r="A1294" s="16"/>
      <c r="B1294" s="72"/>
      <c r="C1294" s="26"/>
      <c r="D1294" s="16"/>
    </row>
    <row r="1295">
      <c r="A1295" s="16"/>
      <c r="B1295" s="72"/>
      <c r="C1295" s="26"/>
      <c r="D1295" s="16"/>
    </row>
    <row r="1296">
      <c r="A1296" s="16"/>
      <c r="B1296" s="72"/>
      <c r="C1296" s="26"/>
      <c r="D1296" s="16"/>
    </row>
    <row r="1297">
      <c r="A1297" s="16"/>
      <c r="B1297" s="72"/>
      <c r="C1297" s="26"/>
      <c r="D1297" s="16"/>
    </row>
    <row r="1298">
      <c r="A1298" s="16"/>
      <c r="B1298" s="72"/>
      <c r="C1298" s="26"/>
      <c r="D1298" s="16"/>
    </row>
    <row r="1299">
      <c r="A1299" s="16"/>
      <c r="B1299" s="72"/>
      <c r="C1299" s="26"/>
      <c r="D1299" s="16"/>
    </row>
    <row r="1300">
      <c r="A1300" s="16"/>
      <c r="B1300" s="72"/>
      <c r="C1300" s="26"/>
      <c r="D1300" s="16"/>
    </row>
    <row r="1301">
      <c r="A1301" s="16"/>
      <c r="B1301" s="72"/>
      <c r="C1301" s="26"/>
      <c r="D1301" s="16"/>
    </row>
    <row r="1302">
      <c r="A1302" s="16"/>
      <c r="B1302" s="72"/>
      <c r="C1302" s="26"/>
      <c r="D1302" s="16"/>
    </row>
    <row r="1303">
      <c r="A1303" s="16"/>
      <c r="B1303" s="72"/>
      <c r="C1303" s="26"/>
      <c r="D1303" s="16"/>
    </row>
    <row r="1304">
      <c r="A1304" s="16"/>
      <c r="B1304" s="72"/>
      <c r="C1304" s="26"/>
      <c r="D1304" s="16"/>
    </row>
    <row r="1305">
      <c r="A1305" s="16"/>
      <c r="B1305" s="72"/>
      <c r="C1305" s="26"/>
      <c r="D1305" s="16"/>
    </row>
    <row r="1306">
      <c r="A1306" s="16"/>
      <c r="B1306" s="72"/>
      <c r="C1306" s="26"/>
      <c r="D1306" s="16"/>
    </row>
    <row r="1307">
      <c r="A1307" s="16"/>
      <c r="B1307" s="72"/>
      <c r="C1307" s="26"/>
      <c r="D1307" s="16"/>
    </row>
    <row r="1308">
      <c r="A1308" s="16"/>
      <c r="B1308" s="72"/>
      <c r="C1308" s="26"/>
      <c r="D1308" s="16"/>
    </row>
    <row r="1309">
      <c r="A1309" s="16"/>
      <c r="B1309" s="72"/>
      <c r="C1309" s="26"/>
      <c r="D1309" s="16"/>
    </row>
    <row r="1310">
      <c r="A1310" s="16"/>
      <c r="B1310" s="72"/>
      <c r="C1310" s="26"/>
      <c r="D1310" s="16"/>
    </row>
    <row r="1311">
      <c r="A1311" s="16"/>
      <c r="B1311" s="72"/>
      <c r="C1311" s="26"/>
      <c r="D1311" s="16"/>
    </row>
    <row r="1312">
      <c r="A1312" s="16"/>
      <c r="B1312" s="72"/>
      <c r="C1312" s="26"/>
      <c r="D1312" s="16"/>
    </row>
    <row r="1313">
      <c r="A1313" s="16"/>
      <c r="B1313" s="72"/>
      <c r="C1313" s="26"/>
      <c r="D1313" s="16"/>
    </row>
    <row r="1314">
      <c r="A1314" s="16"/>
      <c r="B1314" s="72"/>
      <c r="C1314" s="26"/>
      <c r="D1314" s="16"/>
    </row>
    <row r="1315">
      <c r="A1315" s="16"/>
      <c r="B1315" s="72"/>
      <c r="C1315" s="26"/>
      <c r="D1315" s="16"/>
    </row>
    <row r="1316">
      <c r="A1316" s="16"/>
      <c r="B1316" s="72"/>
      <c r="C1316" s="26"/>
      <c r="D1316" s="16"/>
    </row>
    <row r="1317">
      <c r="A1317" s="16"/>
      <c r="B1317" s="72"/>
      <c r="C1317" s="26"/>
      <c r="D1317" s="16"/>
    </row>
    <row r="1318">
      <c r="A1318" s="16"/>
      <c r="B1318" s="72"/>
      <c r="C1318" s="26"/>
      <c r="D1318" s="16"/>
    </row>
    <row r="1319">
      <c r="A1319" s="16"/>
      <c r="B1319" s="72"/>
      <c r="C1319" s="26"/>
      <c r="D1319" s="16"/>
    </row>
    <row r="1320">
      <c r="A1320" s="16"/>
      <c r="B1320" s="72"/>
      <c r="C1320" s="26"/>
      <c r="D1320" s="16"/>
    </row>
    <row r="1321">
      <c r="A1321" s="16"/>
      <c r="B1321" s="72"/>
      <c r="C1321" s="26"/>
      <c r="D1321" s="16"/>
    </row>
    <row r="1322">
      <c r="A1322" s="16"/>
      <c r="B1322" s="72"/>
      <c r="C1322" s="26"/>
      <c r="D1322" s="16"/>
    </row>
    <row r="1323">
      <c r="A1323" s="16"/>
      <c r="B1323" s="72"/>
      <c r="C1323" s="26"/>
      <c r="D1323" s="16"/>
    </row>
    <row r="1324">
      <c r="A1324" s="16"/>
      <c r="B1324" s="72"/>
      <c r="C1324" s="26"/>
      <c r="D1324" s="16"/>
    </row>
    <row r="1325">
      <c r="A1325" s="16"/>
      <c r="B1325" s="72"/>
      <c r="C1325" s="26"/>
      <c r="D1325" s="16"/>
    </row>
    <row r="1326">
      <c r="A1326" s="16"/>
      <c r="B1326" s="72"/>
      <c r="C1326" s="26"/>
      <c r="D1326" s="16"/>
    </row>
    <row r="1327">
      <c r="A1327" s="16"/>
      <c r="B1327" s="72"/>
      <c r="C1327" s="26"/>
      <c r="D1327" s="16"/>
    </row>
    <row r="1328">
      <c r="A1328" s="16"/>
      <c r="B1328" s="72"/>
      <c r="C1328" s="26"/>
      <c r="D1328" s="16"/>
    </row>
    <row r="1329">
      <c r="A1329" s="16"/>
      <c r="B1329" s="72"/>
      <c r="C1329" s="26"/>
      <c r="D1329" s="16"/>
    </row>
    <row r="1330">
      <c r="A1330" s="16"/>
      <c r="B1330" s="72"/>
      <c r="C1330" s="26"/>
      <c r="D1330" s="16"/>
    </row>
    <row r="1331">
      <c r="A1331" s="16"/>
      <c r="B1331" s="72"/>
      <c r="C1331" s="26"/>
      <c r="D1331" s="16"/>
    </row>
    <row r="1332">
      <c r="A1332" s="16"/>
      <c r="B1332" s="72"/>
      <c r="C1332" s="26"/>
      <c r="D1332" s="16"/>
    </row>
    <row r="1333">
      <c r="A1333" s="16"/>
      <c r="B1333" s="72"/>
      <c r="C1333" s="26"/>
      <c r="D1333" s="16"/>
    </row>
    <row r="1334">
      <c r="A1334" s="16"/>
      <c r="B1334" s="72"/>
      <c r="C1334" s="26"/>
      <c r="D1334" s="16"/>
    </row>
    <row r="1335">
      <c r="A1335" s="16"/>
      <c r="B1335" s="72"/>
      <c r="C1335" s="26"/>
      <c r="D1335" s="16"/>
    </row>
    <row r="1336">
      <c r="A1336" s="16"/>
      <c r="B1336" s="72"/>
      <c r="C1336" s="26"/>
      <c r="D1336" s="16"/>
    </row>
    <row r="1337">
      <c r="A1337" s="16"/>
      <c r="B1337" s="72"/>
      <c r="C1337" s="26"/>
      <c r="D1337" s="16"/>
    </row>
    <row r="1338">
      <c r="A1338" s="16"/>
      <c r="B1338" s="72"/>
      <c r="C1338" s="26"/>
      <c r="D1338" s="16"/>
    </row>
    <row r="1339">
      <c r="A1339" s="16"/>
      <c r="B1339" s="72"/>
      <c r="C1339" s="26"/>
      <c r="D1339" s="16"/>
    </row>
    <row r="1340">
      <c r="A1340" s="16"/>
      <c r="B1340" s="72"/>
      <c r="C1340" s="26"/>
      <c r="D1340" s="16"/>
    </row>
    <row r="1341">
      <c r="A1341" s="16"/>
      <c r="B1341" s="72"/>
      <c r="C1341" s="26"/>
      <c r="D1341" s="16"/>
    </row>
    <row r="1342">
      <c r="A1342" s="16"/>
      <c r="B1342" s="72"/>
      <c r="C1342" s="26"/>
      <c r="D1342" s="16"/>
    </row>
    <row r="1343">
      <c r="A1343" s="16"/>
      <c r="B1343" s="72"/>
      <c r="C1343" s="26"/>
      <c r="D1343" s="16"/>
    </row>
    <row r="1344">
      <c r="A1344" s="16"/>
      <c r="B1344" s="72"/>
      <c r="C1344" s="26"/>
      <c r="D1344" s="16"/>
    </row>
    <row r="1345">
      <c r="A1345" s="16"/>
      <c r="B1345" s="72"/>
      <c r="C1345" s="26"/>
      <c r="D1345" s="16"/>
    </row>
    <row r="1346">
      <c r="A1346" s="16"/>
      <c r="B1346" s="72"/>
      <c r="C1346" s="26"/>
      <c r="D1346" s="16"/>
    </row>
    <row r="1347">
      <c r="A1347" s="16"/>
      <c r="B1347" s="72"/>
      <c r="C1347" s="26"/>
      <c r="D1347" s="16"/>
    </row>
    <row r="1348">
      <c r="A1348" s="16"/>
      <c r="B1348" s="72"/>
      <c r="C1348" s="26"/>
      <c r="D1348" s="16"/>
    </row>
    <row r="1349">
      <c r="A1349" s="16"/>
      <c r="B1349" s="72"/>
      <c r="C1349" s="26"/>
      <c r="D1349" s="16"/>
    </row>
    <row r="1350">
      <c r="A1350" s="16"/>
      <c r="B1350" s="72"/>
      <c r="C1350" s="26"/>
      <c r="D1350" s="16"/>
    </row>
    <row r="1351">
      <c r="A1351" s="16"/>
      <c r="B1351" s="72"/>
      <c r="C1351" s="26"/>
      <c r="D1351" s="16"/>
    </row>
    <row r="1352">
      <c r="A1352" s="16"/>
      <c r="B1352" s="72"/>
      <c r="C1352" s="26"/>
      <c r="D1352" s="16"/>
    </row>
    <row r="1353">
      <c r="A1353" s="16"/>
      <c r="B1353" s="72"/>
      <c r="C1353" s="26"/>
      <c r="D1353" s="16"/>
    </row>
    <row r="1354">
      <c r="A1354" s="16"/>
      <c r="B1354" s="72"/>
      <c r="C1354" s="26"/>
      <c r="D1354" s="16"/>
    </row>
    <row r="1355">
      <c r="A1355" s="16"/>
      <c r="B1355" s="72"/>
      <c r="C1355" s="26"/>
      <c r="D1355" s="16"/>
    </row>
    <row r="1356">
      <c r="A1356" s="16"/>
      <c r="B1356" s="72"/>
      <c r="C1356" s="26"/>
      <c r="D1356" s="16"/>
    </row>
    <row r="1357">
      <c r="A1357" s="16"/>
      <c r="B1357" s="72"/>
      <c r="C1357" s="26"/>
      <c r="D1357" s="16"/>
    </row>
    <row r="1358">
      <c r="A1358" s="16"/>
      <c r="B1358" s="72"/>
      <c r="C1358" s="26"/>
      <c r="D1358" s="16"/>
    </row>
    <row r="1359">
      <c r="A1359" s="16"/>
      <c r="B1359" s="72"/>
      <c r="C1359" s="26"/>
      <c r="D1359" s="16"/>
    </row>
    <row r="1360">
      <c r="A1360" s="16"/>
      <c r="B1360" s="72"/>
      <c r="C1360" s="26"/>
      <c r="D1360" s="16"/>
    </row>
    <row r="1361">
      <c r="A1361" s="16"/>
      <c r="B1361" s="72"/>
      <c r="C1361" s="26"/>
      <c r="D1361" s="16"/>
    </row>
    <row r="1362">
      <c r="A1362" s="16"/>
      <c r="B1362" s="72"/>
      <c r="C1362" s="26"/>
      <c r="D1362" s="16"/>
    </row>
    <row r="1363">
      <c r="A1363" s="16"/>
      <c r="B1363" s="72"/>
      <c r="C1363" s="26"/>
      <c r="D1363" s="16"/>
    </row>
    <row r="1364">
      <c r="A1364" s="16"/>
      <c r="B1364" s="72"/>
      <c r="C1364" s="26"/>
      <c r="D1364" s="16"/>
    </row>
    <row r="1365">
      <c r="A1365" s="16"/>
      <c r="B1365" s="72"/>
      <c r="C1365" s="26"/>
      <c r="D1365" s="16"/>
    </row>
    <row r="1366">
      <c r="A1366" s="16"/>
      <c r="B1366" s="72"/>
      <c r="C1366" s="26"/>
      <c r="D1366" s="16"/>
    </row>
    <row r="1367">
      <c r="A1367" s="16"/>
      <c r="B1367" s="72"/>
      <c r="C1367" s="26"/>
      <c r="D1367" s="16"/>
    </row>
    <row r="1368">
      <c r="A1368" s="16"/>
      <c r="B1368" s="72"/>
      <c r="C1368" s="26"/>
      <c r="D1368" s="16"/>
    </row>
    <row r="1369">
      <c r="A1369" s="16"/>
      <c r="B1369" s="72"/>
      <c r="C1369" s="26"/>
      <c r="D1369" s="16"/>
    </row>
    <row r="1370">
      <c r="A1370" s="16"/>
      <c r="B1370" s="72"/>
      <c r="C1370" s="26"/>
      <c r="D1370" s="16"/>
    </row>
    <row r="1371">
      <c r="A1371" s="16"/>
      <c r="B1371" s="72"/>
      <c r="C1371" s="26"/>
      <c r="D1371" s="16"/>
    </row>
    <row r="1372">
      <c r="A1372" s="16"/>
      <c r="B1372" s="72"/>
      <c r="C1372" s="26"/>
      <c r="D1372" s="16"/>
    </row>
    <row r="1373">
      <c r="A1373" s="16"/>
      <c r="B1373" s="72"/>
      <c r="C1373" s="26"/>
      <c r="D1373" s="16"/>
    </row>
    <row r="1374">
      <c r="A1374" s="16"/>
      <c r="B1374" s="72"/>
      <c r="C1374" s="26"/>
      <c r="D1374" s="16"/>
    </row>
    <row r="1375">
      <c r="A1375" s="16"/>
      <c r="B1375" s="72"/>
      <c r="C1375" s="26"/>
      <c r="D1375" s="16"/>
    </row>
    <row r="1376">
      <c r="A1376" s="16"/>
      <c r="B1376" s="72"/>
      <c r="C1376" s="26"/>
      <c r="D1376" s="16"/>
    </row>
    <row r="1377">
      <c r="A1377" s="16"/>
      <c r="B1377" s="72"/>
      <c r="C1377" s="26"/>
      <c r="D1377" s="16"/>
    </row>
    <row r="1378">
      <c r="A1378" s="16"/>
      <c r="B1378" s="72"/>
      <c r="C1378" s="26"/>
      <c r="D1378" s="16"/>
    </row>
    <row r="1379">
      <c r="A1379" s="16"/>
      <c r="B1379" s="72"/>
      <c r="C1379" s="26"/>
      <c r="D1379" s="16"/>
    </row>
    <row r="1380">
      <c r="A1380" s="16"/>
      <c r="B1380" s="72"/>
      <c r="C1380" s="26"/>
      <c r="D1380" s="16"/>
    </row>
    <row r="1381">
      <c r="A1381" s="16"/>
      <c r="B1381" s="72"/>
      <c r="C1381" s="26"/>
      <c r="D1381" s="16"/>
    </row>
    <row r="1382">
      <c r="A1382" s="16"/>
      <c r="B1382" s="72"/>
      <c r="C1382" s="26"/>
      <c r="D1382" s="16"/>
    </row>
    <row r="1383">
      <c r="A1383" s="16"/>
      <c r="B1383" s="72"/>
      <c r="C1383" s="26"/>
      <c r="D1383" s="16"/>
    </row>
    <row r="1384">
      <c r="A1384" s="16"/>
      <c r="B1384" s="72"/>
      <c r="C1384" s="26"/>
      <c r="D1384" s="16"/>
    </row>
    <row r="1385">
      <c r="A1385" s="16"/>
      <c r="B1385" s="72"/>
      <c r="C1385" s="26"/>
      <c r="D1385" s="16"/>
    </row>
    <row r="1386">
      <c r="A1386" s="16"/>
      <c r="B1386" s="72"/>
      <c r="C1386" s="26"/>
      <c r="D1386" s="16"/>
    </row>
    <row r="1387">
      <c r="A1387" s="16"/>
      <c r="B1387" s="72"/>
      <c r="C1387" s="26"/>
      <c r="D1387" s="16"/>
    </row>
    <row r="1388">
      <c r="A1388" s="16"/>
      <c r="B1388" s="72"/>
      <c r="C1388" s="26"/>
      <c r="D1388" s="16"/>
    </row>
    <row r="1389">
      <c r="A1389" s="16"/>
      <c r="B1389" s="72"/>
      <c r="C1389" s="26"/>
      <c r="D1389" s="16"/>
    </row>
    <row r="1390">
      <c r="A1390" s="16"/>
      <c r="B1390" s="72"/>
      <c r="C1390" s="26"/>
      <c r="D1390" s="16"/>
    </row>
    <row r="1391">
      <c r="A1391" s="16"/>
      <c r="B1391" s="72"/>
      <c r="C1391" s="26"/>
      <c r="D1391" s="16"/>
    </row>
    <row r="1392">
      <c r="A1392" s="16"/>
      <c r="B1392" s="72"/>
      <c r="C1392" s="26"/>
      <c r="D1392" s="16"/>
    </row>
    <row r="1393">
      <c r="A1393" s="16"/>
      <c r="B1393" s="72"/>
      <c r="C1393" s="26"/>
      <c r="D1393" s="16"/>
    </row>
    <row r="1394">
      <c r="A1394" s="16"/>
      <c r="B1394" s="72"/>
      <c r="C1394" s="26"/>
      <c r="D1394" s="16"/>
    </row>
    <row r="1395">
      <c r="A1395" s="16"/>
      <c r="B1395" s="72"/>
      <c r="C1395" s="26"/>
      <c r="D1395" s="16"/>
    </row>
    <row r="1396">
      <c r="A1396" s="16"/>
      <c r="B1396" s="72"/>
      <c r="C1396" s="26"/>
      <c r="D1396" s="16"/>
    </row>
    <row r="1397">
      <c r="A1397" s="16"/>
      <c r="B1397" s="72"/>
      <c r="C1397" s="26"/>
      <c r="D1397" s="16"/>
    </row>
    <row r="1398">
      <c r="A1398" s="16"/>
      <c r="B1398" s="72"/>
      <c r="C1398" s="26"/>
      <c r="D1398" s="16"/>
    </row>
    <row r="1399">
      <c r="A1399" s="16"/>
      <c r="B1399" s="72"/>
      <c r="C1399" s="26"/>
      <c r="D1399" s="16"/>
    </row>
    <row r="1400">
      <c r="A1400" s="16"/>
      <c r="B1400" s="72"/>
      <c r="C1400" s="26"/>
      <c r="D1400" s="16"/>
    </row>
    <row r="1401">
      <c r="A1401" s="16"/>
      <c r="B1401" s="72"/>
      <c r="C1401" s="26"/>
      <c r="D1401" s="16"/>
    </row>
    <row r="1402">
      <c r="A1402" s="16"/>
      <c r="B1402" s="72"/>
      <c r="C1402" s="26"/>
      <c r="D1402" s="16"/>
    </row>
    <row r="1403">
      <c r="A1403" s="16"/>
      <c r="B1403" s="72"/>
      <c r="C1403" s="26"/>
      <c r="D1403" s="16"/>
    </row>
    <row r="1404">
      <c r="A1404" s="16"/>
      <c r="B1404" s="72"/>
      <c r="C1404" s="26"/>
      <c r="D1404" s="16"/>
    </row>
    <row r="1405">
      <c r="A1405" s="16"/>
      <c r="B1405" s="72"/>
      <c r="C1405" s="26"/>
      <c r="D1405" s="16"/>
    </row>
    <row r="1406">
      <c r="A1406" s="16"/>
      <c r="B1406" s="72"/>
      <c r="C1406" s="26"/>
      <c r="D1406" s="16"/>
    </row>
    <row r="1407">
      <c r="A1407" s="16"/>
      <c r="B1407" s="72"/>
      <c r="C1407" s="26"/>
      <c r="D1407" s="16"/>
    </row>
    <row r="1408">
      <c r="A1408" s="16"/>
      <c r="B1408" s="72"/>
      <c r="C1408" s="26"/>
      <c r="D1408" s="16"/>
    </row>
    <row r="1409">
      <c r="A1409" s="16"/>
      <c r="B1409" s="72"/>
      <c r="C1409" s="26"/>
      <c r="D1409" s="16"/>
    </row>
    <row r="1410">
      <c r="A1410" s="16"/>
      <c r="B1410" s="72"/>
      <c r="C1410" s="26"/>
      <c r="D1410" s="16"/>
    </row>
    <row r="1411">
      <c r="A1411" s="16"/>
      <c r="B1411" s="72"/>
      <c r="C1411" s="26"/>
      <c r="D1411" s="16"/>
    </row>
    <row r="1412">
      <c r="A1412" s="16"/>
      <c r="B1412" s="72"/>
      <c r="C1412" s="26"/>
      <c r="D1412" s="16"/>
    </row>
    <row r="1413">
      <c r="A1413" s="16"/>
      <c r="B1413" s="72"/>
      <c r="C1413" s="26"/>
      <c r="D1413" s="16"/>
    </row>
    <row r="1414">
      <c r="A1414" s="16"/>
      <c r="B1414" s="72"/>
      <c r="C1414" s="26"/>
      <c r="D1414" s="16"/>
    </row>
    <row r="1415">
      <c r="A1415" s="16"/>
      <c r="B1415" s="72"/>
      <c r="C1415" s="26"/>
      <c r="D1415" s="16"/>
    </row>
    <row r="1416">
      <c r="A1416" s="16"/>
      <c r="B1416" s="72"/>
      <c r="C1416" s="26"/>
      <c r="D1416" s="16"/>
    </row>
    <row r="1417">
      <c r="A1417" s="16"/>
      <c r="B1417" s="72"/>
      <c r="C1417" s="26"/>
      <c r="D1417" s="16"/>
    </row>
    <row r="1418">
      <c r="A1418" s="16"/>
      <c r="B1418" s="72"/>
      <c r="C1418" s="26"/>
      <c r="D1418" s="16"/>
    </row>
    <row r="1419">
      <c r="A1419" s="16"/>
      <c r="B1419" s="72"/>
      <c r="C1419" s="26"/>
      <c r="D1419" s="16"/>
    </row>
    <row r="1420">
      <c r="A1420" s="16"/>
      <c r="B1420" s="72"/>
      <c r="C1420" s="26"/>
      <c r="D1420" s="16"/>
    </row>
    <row r="1421">
      <c r="A1421" s="16"/>
      <c r="B1421" s="72"/>
      <c r="C1421" s="26"/>
      <c r="D1421" s="16"/>
    </row>
    <row r="1422">
      <c r="A1422" s="16"/>
      <c r="B1422" s="72"/>
      <c r="C1422" s="26"/>
      <c r="D1422" s="16"/>
    </row>
    <row r="1423">
      <c r="A1423" s="16"/>
      <c r="B1423" s="72"/>
      <c r="C1423" s="26"/>
      <c r="D1423" s="16"/>
    </row>
    <row r="1424">
      <c r="A1424" s="16"/>
      <c r="B1424" s="72"/>
      <c r="C1424" s="26"/>
      <c r="D1424" s="16"/>
    </row>
    <row r="1425">
      <c r="A1425" s="16"/>
      <c r="B1425" s="72"/>
      <c r="C1425" s="26"/>
      <c r="D1425" s="16"/>
    </row>
    <row r="1426">
      <c r="A1426" s="16"/>
      <c r="B1426" s="72"/>
      <c r="C1426" s="26"/>
      <c r="D1426" s="16"/>
    </row>
    <row r="1427">
      <c r="A1427" s="16"/>
      <c r="B1427" s="72"/>
      <c r="C1427" s="26"/>
      <c r="D1427" s="16"/>
    </row>
    <row r="1428">
      <c r="A1428" s="16"/>
      <c r="B1428" s="72"/>
      <c r="C1428" s="26"/>
      <c r="D1428" s="16"/>
    </row>
    <row r="1429">
      <c r="A1429" s="16"/>
      <c r="B1429" s="72"/>
      <c r="C1429" s="26"/>
      <c r="D1429" s="16"/>
    </row>
    <row r="1430">
      <c r="A1430" s="16"/>
      <c r="B1430" s="72"/>
      <c r="C1430" s="26"/>
      <c r="D1430" s="16"/>
    </row>
    <row r="1431">
      <c r="A1431" s="16"/>
      <c r="B1431" s="72"/>
      <c r="C1431" s="26"/>
      <c r="D1431" s="16"/>
    </row>
    <row r="1432">
      <c r="A1432" s="16"/>
      <c r="B1432" s="72"/>
      <c r="C1432" s="26"/>
      <c r="D1432" s="16"/>
    </row>
    <row r="1433">
      <c r="A1433" s="16"/>
      <c r="B1433" s="72"/>
      <c r="C1433" s="26"/>
      <c r="D1433" s="16"/>
    </row>
    <row r="1434">
      <c r="A1434" s="16"/>
      <c r="B1434" s="72"/>
      <c r="C1434" s="26"/>
      <c r="D1434" s="16"/>
    </row>
    <row r="1435">
      <c r="A1435" s="16"/>
      <c r="B1435" s="72"/>
      <c r="C1435" s="26"/>
      <c r="D1435" s="16"/>
    </row>
    <row r="1436">
      <c r="A1436" s="16"/>
      <c r="B1436" s="72"/>
      <c r="C1436" s="26"/>
      <c r="D1436" s="16"/>
    </row>
    <row r="1437">
      <c r="A1437" s="16"/>
      <c r="B1437" s="72"/>
      <c r="C1437" s="26"/>
      <c r="D1437" s="16"/>
    </row>
    <row r="1438">
      <c r="A1438" s="16"/>
      <c r="B1438" s="72"/>
      <c r="C1438" s="26"/>
      <c r="D1438" s="16"/>
    </row>
    <row r="1439">
      <c r="A1439" s="16"/>
      <c r="B1439" s="72"/>
      <c r="C1439" s="26"/>
      <c r="D1439" s="16"/>
    </row>
    <row r="1440">
      <c r="A1440" s="16"/>
      <c r="B1440" s="72"/>
      <c r="C1440" s="26"/>
      <c r="D1440" s="16"/>
    </row>
    <row r="1441">
      <c r="A1441" s="16"/>
      <c r="B1441" s="72"/>
      <c r="C1441" s="26"/>
      <c r="D1441" s="16"/>
    </row>
    <row r="1442">
      <c r="A1442" s="16"/>
      <c r="B1442" s="72"/>
      <c r="C1442" s="26"/>
      <c r="D1442" s="16"/>
    </row>
    <row r="1443">
      <c r="A1443" s="16"/>
      <c r="B1443" s="72"/>
      <c r="C1443" s="26"/>
      <c r="D1443" s="16"/>
    </row>
    <row r="1444">
      <c r="A1444" s="16"/>
      <c r="B1444" s="72"/>
      <c r="C1444" s="26"/>
      <c r="D1444" s="16"/>
    </row>
    <row r="1445">
      <c r="A1445" s="16"/>
      <c r="B1445" s="72"/>
      <c r="C1445" s="26"/>
      <c r="D1445" s="16"/>
    </row>
    <row r="1446">
      <c r="A1446" s="16"/>
      <c r="B1446" s="72"/>
      <c r="C1446" s="26"/>
      <c r="D1446" s="16"/>
    </row>
    <row r="1447">
      <c r="A1447" s="16"/>
      <c r="B1447" s="72"/>
      <c r="C1447" s="26"/>
      <c r="D1447" s="16"/>
    </row>
    <row r="1448">
      <c r="A1448" s="16"/>
      <c r="B1448" s="72"/>
      <c r="C1448" s="26"/>
      <c r="D1448" s="16"/>
    </row>
    <row r="1449">
      <c r="A1449" s="16"/>
      <c r="B1449" s="72"/>
      <c r="C1449" s="26"/>
      <c r="D1449" s="16"/>
    </row>
    <row r="1450">
      <c r="A1450" s="16"/>
      <c r="B1450" s="72"/>
      <c r="C1450" s="26"/>
      <c r="D1450" s="16"/>
    </row>
    <row r="1451">
      <c r="A1451" s="16"/>
      <c r="B1451" s="72"/>
      <c r="C1451" s="26"/>
      <c r="D1451" s="16"/>
    </row>
    <row r="1452">
      <c r="A1452" s="16"/>
      <c r="B1452" s="72"/>
      <c r="C1452" s="26"/>
      <c r="D1452" s="16"/>
    </row>
    <row r="1453">
      <c r="A1453" s="16"/>
      <c r="B1453" s="72"/>
      <c r="C1453" s="26"/>
      <c r="D1453" s="16"/>
    </row>
    <row r="1454">
      <c r="A1454" s="16"/>
      <c r="B1454" s="72"/>
      <c r="C1454" s="26"/>
      <c r="D1454" s="16"/>
    </row>
    <row r="1455">
      <c r="A1455" s="16"/>
      <c r="B1455" s="72"/>
      <c r="C1455" s="26"/>
      <c r="D1455" s="16"/>
    </row>
    <row r="1456">
      <c r="A1456" s="16"/>
      <c r="B1456" s="72"/>
      <c r="C1456" s="26"/>
      <c r="D1456" s="16"/>
    </row>
    <row r="1457">
      <c r="A1457" s="16"/>
      <c r="B1457" s="72"/>
      <c r="C1457" s="26"/>
      <c r="D1457" s="16"/>
    </row>
    <row r="1458">
      <c r="A1458" s="16"/>
      <c r="B1458" s="72"/>
      <c r="C1458" s="26"/>
      <c r="D1458" s="16"/>
    </row>
    <row r="1459">
      <c r="A1459" s="16"/>
      <c r="B1459" s="72"/>
      <c r="C1459" s="26"/>
      <c r="D1459" s="16"/>
    </row>
    <row r="1460">
      <c r="A1460" s="16"/>
      <c r="B1460" s="72"/>
      <c r="C1460" s="26"/>
      <c r="D1460" s="16"/>
    </row>
    <row r="1461">
      <c r="A1461" s="16"/>
      <c r="B1461" s="72"/>
      <c r="C1461" s="26"/>
      <c r="D1461" s="16"/>
    </row>
    <row r="1462">
      <c r="A1462" s="16"/>
      <c r="B1462" s="72"/>
      <c r="C1462" s="26"/>
      <c r="D1462" s="16"/>
    </row>
    <row r="1463">
      <c r="A1463" s="16"/>
      <c r="B1463" s="72"/>
      <c r="C1463" s="26"/>
      <c r="D1463" s="16"/>
    </row>
    <row r="1464">
      <c r="A1464" s="16"/>
      <c r="B1464" s="72"/>
      <c r="C1464" s="26"/>
      <c r="D1464" s="16"/>
    </row>
    <row r="1465">
      <c r="A1465" s="16"/>
      <c r="B1465" s="72"/>
      <c r="C1465" s="26"/>
      <c r="D1465" s="16"/>
    </row>
    <row r="1466">
      <c r="A1466" s="16"/>
      <c r="B1466" s="72"/>
      <c r="C1466" s="26"/>
      <c r="D1466" s="16"/>
    </row>
    <row r="1467">
      <c r="A1467" s="16"/>
      <c r="B1467" s="72"/>
      <c r="C1467" s="26"/>
      <c r="D1467" s="16"/>
    </row>
    <row r="1468">
      <c r="A1468" s="16"/>
      <c r="B1468" s="72"/>
      <c r="C1468" s="26"/>
      <c r="D1468" s="16"/>
    </row>
    <row r="1469">
      <c r="A1469" s="16"/>
      <c r="B1469" s="72"/>
      <c r="C1469" s="26"/>
      <c r="D1469" s="16"/>
    </row>
    <row r="1470">
      <c r="A1470" s="16"/>
      <c r="B1470" s="72"/>
      <c r="C1470" s="26"/>
      <c r="D1470" s="16"/>
    </row>
    <row r="1471">
      <c r="A1471" s="16"/>
      <c r="B1471" s="72"/>
      <c r="C1471" s="26"/>
      <c r="D1471" s="16"/>
    </row>
    <row r="1472">
      <c r="A1472" s="16"/>
      <c r="B1472" s="72"/>
      <c r="C1472" s="26"/>
      <c r="D1472" s="16"/>
    </row>
    <row r="1473">
      <c r="A1473" s="16"/>
      <c r="B1473" s="72"/>
      <c r="C1473" s="26"/>
      <c r="D1473" s="16"/>
    </row>
    <row r="1474">
      <c r="A1474" s="16"/>
      <c r="B1474" s="72"/>
      <c r="C1474" s="26"/>
      <c r="D1474" s="16"/>
    </row>
    <row r="1475">
      <c r="A1475" s="16"/>
      <c r="B1475" s="72"/>
      <c r="C1475" s="26"/>
      <c r="D1475" s="16"/>
    </row>
    <row r="1476">
      <c r="A1476" s="16"/>
      <c r="B1476" s="72"/>
      <c r="C1476" s="26"/>
      <c r="D1476" s="16"/>
    </row>
    <row r="1477">
      <c r="A1477" s="16"/>
      <c r="B1477" s="72"/>
      <c r="C1477" s="26"/>
      <c r="D1477" s="16"/>
    </row>
    <row r="1478">
      <c r="A1478" s="16"/>
      <c r="B1478" s="72"/>
      <c r="C1478" s="26"/>
      <c r="D1478" s="16"/>
    </row>
    <row r="1479">
      <c r="A1479" s="16"/>
      <c r="B1479" s="72"/>
      <c r="C1479" s="26"/>
      <c r="D1479" s="16"/>
    </row>
    <row r="1480">
      <c r="A1480" s="16"/>
      <c r="B1480" s="72"/>
      <c r="C1480" s="26"/>
      <c r="D1480" s="16"/>
    </row>
    <row r="1481">
      <c r="A1481" s="16"/>
      <c r="B1481" s="72"/>
      <c r="C1481" s="26"/>
      <c r="D1481" s="16"/>
    </row>
    <row r="1482">
      <c r="A1482" s="16"/>
      <c r="B1482" s="72"/>
      <c r="C1482" s="26"/>
      <c r="D1482" s="16"/>
    </row>
    <row r="1483">
      <c r="A1483" s="16"/>
      <c r="B1483" s="72"/>
      <c r="C1483" s="26"/>
      <c r="D1483" s="16"/>
    </row>
    <row r="1484">
      <c r="A1484" s="16"/>
      <c r="B1484" s="72"/>
      <c r="C1484" s="26"/>
      <c r="D1484" s="16"/>
    </row>
    <row r="1485">
      <c r="A1485" s="16"/>
      <c r="B1485" s="72"/>
      <c r="C1485" s="26"/>
      <c r="D1485" s="16"/>
    </row>
    <row r="1486">
      <c r="A1486" s="16"/>
      <c r="B1486" s="72"/>
      <c r="C1486" s="26"/>
      <c r="D1486" s="16"/>
    </row>
    <row r="1487">
      <c r="A1487" s="16"/>
      <c r="B1487" s="72"/>
      <c r="C1487" s="26"/>
      <c r="D1487" s="16"/>
    </row>
    <row r="1488">
      <c r="A1488" s="16"/>
      <c r="B1488" s="72"/>
      <c r="C1488" s="26"/>
      <c r="D1488" s="16"/>
    </row>
    <row r="1489">
      <c r="A1489" s="16"/>
      <c r="B1489" s="72"/>
      <c r="C1489" s="26"/>
      <c r="D1489" s="16"/>
    </row>
    <row r="1490">
      <c r="A1490" s="16"/>
      <c r="B1490" s="72"/>
      <c r="C1490" s="26"/>
      <c r="D1490" s="16"/>
    </row>
    <row r="1491">
      <c r="A1491" s="16"/>
      <c r="B1491" s="72"/>
      <c r="C1491" s="26"/>
      <c r="D1491" s="16"/>
    </row>
    <row r="1492">
      <c r="A1492" s="16"/>
      <c r="B1492" s="72"/>
      <c r="C1492" s="26"/>
      <c r="D1492" s="16"/>
    </row>
    <row r="1493">
      <c r="A1493" s="16"/>
      <c r="B1493" s="72"/>
      <c r="C1493" s="26"/>
      <c r="D1493" s="16"/>
    </row>
    <row r="1494">
      <c r="A1494" s="16"/>
      <c r="B1494" s="72"/>
      <c r="C1494" s="26"/>
      <c r="D1494" s="16"/>
    </row>
    <row r="1495">
      <c r="A1495" s="16"/>
      <c r="B1495" s="72"/>
      <c r="C1495" s="26"/>
      <c r="D1495" s="16"/>
    </row>
    <row r="1496">
      <c r="A1496" s="16"/>
      <c r="B1496" s="72"/>
      <c r="C1496" s="26"/>
      <c r="D1496" s="16"/>
    </row>
    <row r="1497">
      <c r="A1497" s="16"/>
      <c r="B1497" s="72"/>
      <c r="C1497" s="26"/>
      <c r="D1497" s="16"/>
    </row>
    <row r="1498">
      <c r="A1498" s="16"/>
      <c r="B1498" s="72"/>
      <c r="C1498" s="26"/>
      <c r="D1498" s="16"/>
    </row>
    <row r="1499">
      <c r="A1499" s="16"/>
      <c r="B1499" s="72"/>
      <c r="C1499" s="26"/>
      <c r="D1499" s="16"/>
    </row>
    <row r="1500">
      <c r="A1500" s="16"/>
      <c r="B1500" s="72"/>
      <c r="C1500" s="26"/>
      <c r="D1500" s="16"/>
    </row>
    <row r="1501">
      <c r="A1501" s="16"/>
      <c r="B1501" s="72"/>
      <c r="C1501" s="26"/>
      <c r="D1501" s="16"/>
    </row>
    <row r="1502">
      <c r="A1502" s="16"/>
      <c r="B1502" s="72"/>
      <c r="C1502" s="26"/>
      <c r="D1502" s="16"/>
    </row>
    <row r="1503">
      <c r="A1503" s="16"/>
      <c r="B1503" s="72"/>
      <c r="C1503" s="26"/>
      <c r="D1503" s="16"/>
    </row>
    <row r="1504">
      <c r="A1504" s="16"/>
      <c r="B1504" s="72"/>
      <c r="C1504" s="26"/>
      <c r="D1504" s="16"/>
    </row>
    <row r="1505">
      <c r="A1505" s="16"/>
      <c r="B1505" s="72"/>
      <c r="C1505" s="26"/>
      <c r="D1505" s="16"/>
    </row>
    <row r="1506">
      <c r="A1506" s="16"/>
      <c r="B1506" s="72"/>
      <c r="C1506" s="26"/>
      <c r="D1506" s="16"/>
    </row>
    <row r="1507">
      <c r="A1507" s="16"/>
      <c r="B1507" s="72"/>
      <c r="C1507" s="26"/>
      <c r="D1507" s="16"/>
    </row>
    <row r="1508">
      <c r="A1508" s="16"/>
      <c r="B1508" s="72"/>
      <c r="C1508" s="26"/>
      <c r="D1508" s="16"/>
    </row>
    <row r="1509">
      <c r="A1509" s="16"/>
      <c r="B1509" s="72"/>
      <c r="C1509" s="26"/>
      <c r="D1509" s="16"/>
    </row>
    <row r="1510">
      <c r="A1510" s="16"/>
      <c r="B1510" s="72"/>
      <c r="C1510" s="26"/>
      <c r="D1510" s="16"/>
    </row>
    <row r="1511">
      <c r="A1511" s="16"/>
      <c r="B1511" s="72"/>
      <c r="C1511" s="26"/>
      <c r="D1511" s="16"/>
    </row>
    <row r="1512">
      <c r="A1512" s="16"/>
      <c r="B1512" s="72"/>
      <c r="C1512" s="26"/>
      <c r="D1512" s="16"/>
    </row>
    <row r="1513">
      <c r="A1513" s="16"/>
      <c r="B1513" s="72"/>
      <c r="C1513" s="26"/>
      <c r="D1513" s="16"/>
    </row>
    <row r="1514">
      <c r="A1514" s="16"/>
      <c r="B1514" s="72"/>
      <c r="C1514" s="26"/>
      <c r="D1514" s="16"/>
    </row>
    <row r="1515">
      <c r="A1515" s="16"/>
      <c r="B1515" s="72"/>
      <c r="C1515" s="26"/>
      <c r="D1515" s="16"/>
    </row>
    <row r="1516">
      <c r="A1516" s="16"/>
      <c r="B1516" s="72"/>
      <c r="C1516" s="26"/>
      <c r="D1516" s="16"/>
    </row>
    <row r="1517">
      <c r="A1517" s="16"/>
      <c r="B1517" s="72"/>
      <c r="C1517" s="26"/>
      <c r="D1517" s="16"/>
    </row>
    <row r="1518">
      <c r="A1518" s="16"/>
      <c r="B1518" s="72"/>
      <c r="C1518" s="26"/>
      <c r="D1518" s="16"/>
    </row>
    <row r="1519">
      <c r="A1519" s="16"/>
      <c r="B1519" s="72"/>
      <c r="C1519" s="26"/>
      <c r="D1519" s="16"/>
    </row>
    <row r="1520">
      <c r="A1520" s="16"/>
      <c r="B1520" s="72"/>
      <c r="C1520" s="26"/>
      <c r="D1520" s="1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2.75"/>
  <cols>
    <col customWidth="1" min="6" max="6" width="15.71"/>
    <col customWidth="1" min="7" max="7" width="66.57"/>
  </cols>
  <sheetData>
    <row r="3">
      <c r="B3" s="9"/>
      <c r="G3" s="28" t="s">
        <v>582</v>
      </c>
    </row>
    <row r="5">
      <c r="A5" s="9" t="s">
        <v>5</v>
      </c>
      <c r="B5" s="6" t="s">
        <v>583</v>
      </c>
      <c r="C5" s="9" t="s">
        <v>584</v>
      </c>
      <c r="D5" s="9" t="s">
        <v>585</v>
      </c>
      <c r="G5" s="32" t="str">
        <f>HYPERLINK(" https://sasonline.freshdesk.com/support/solutions/articles/5000750854-what-are-bracket-orders-how-do-they-work-","*For Further Assistance kindly go through What is BO? ")</f>
        <v>*For Further Assistance kindly go through What is BO? </v>
      </c>
    </row>
    <row r="6">
      <c r="A6" s="16" t="s">
        <v>578</v>
      </c>
      <c r="B6" s="72">
        <v>43770.0</v>
      </c>
      <c r="C6" s="26">
        <v>70.5</v>
      </c>
      <c r="D6" s="16" t="s">
        <v>586</v>
      </c>
    </row>
    <row r="7">
      <c r="A7" s="16" t="s">
        <v>578</v>
      </c>
      <c r="B7" s="72">
        <v>43770.0</v>
      </c>
      <c r="C7" s="26">
        <v>70.75</v>
      </c>
      <c r="D7" s="16" t="s">
        <v>586</v>
      </c>
    </row>
    <row r="8">
      <c r="A8" s="16" t="s">
        <v>578</v>
      </c>
      <c r="B8" s="72">
        <v>43770.0</v>
      </c>
      <c r="C8" s="26">
        <v>71.0</v>
      </c>
      <c r="D8" s="16" t="s">
        <v>586</v>
      </c>
    </row>
    <row r="9">
      <c r="A9" s="16" t="s">
        <v>578</v>
      </c>
      <c r="B9" s="72">
        <v>43770.0</v>
      </c>
      <c r="C9" s="26">
        <v>71.25</v>
      </c>
      <c r="D9" s="16" t="s">
        <v>586</v>
      </c>
    </row>
    <row r="10">
      <c r="A10" s="16" t="s">
        <v>578</v>
      </c>
      <c r="B10" s="72">
        <v>43770.0</v>
      </c>
      <c r="C10" s="26">
        <v>71.5</v>
      </c>
      <c r="D10" s="16" t="s">
        <v>586</v>
      </c>
    </row>
    <row r="11">
      <c r="A11" s="16" t="s">
        <v>578</v>
      </c>
      <c r="B11" s="72">
        <v>43770.0</v>
      </c>
      <c r="C11" s="26">
        <v>70.5</v>
      </c>
      <c r="D11" s="16" t="s">
        <v>587</v>
      </c>
    </row>
    <row r="12">
      <c r="A12" s="16" t="s">
        <v>578</v>
      </c>
      <c r="B12" s="72">
        <v>43770.0</v>
      </c>
      <c r="C12" s="26">
        <v>70.75</v>
      </c>
      <c r="D12" s="16" t="s">
        <v>587</v>
      </c>
    </row>
    <row r="13">
      <c r="A13" s="16" t="s">
        <v>578</v>
      </c>
      <c r="B13" s="72">
        <v>43770.0</v>
      </c>
      <c r="C13" s="26">
        <v>71.0</v>
      </c>
      <c r="D13" s="16" t="s">
        <v>587</v>
      </c>
    </row>
    <row r="14">
      <c r="A14" s="16" t="s">
        <v>578</v>
      </c>
      <c r="B14" s="72">
        <v>43770.0</v>
      </c>
      <c r="C14" s="26">
        <v>71.25</v>
      </c>
      <c r="D14" s="16" t="s">
        <v>587</v>
      </c>
    </row>
    <row r="15">
      <c r="A15" s="16" t="s">
        <v>578</v>
      </c>
      <c r="B15" s="72">
        <v>43770.0</v>
      </c>
      <c r="C15" s="26">
        <v>71.5</v>
      </c>
      <c r="D15" s="16" t="s">
        <v>587</v>
      </c>
    </row>
    <row r="16">
      <c r="A16" s="16" t="s">
        <v>578</v>
      </c>
      <c r="B16" s="72">
        <v>43796.0</v>
      </c>
      <c r="C16" s="26">
        <v>68.0</v>
      </c>
      <c r="D16" s="16" t="s">
        <v>586</v>
      </c>
    </row>
    <row r="17">
      <c r="A17" s="16" t="s">
        <v>578</v>
      </c>
      <c r="B17" s="72">
        <v>43796.0</v>
      </c>
      <c r="C17" s="26">
        <v>69.0</v>
      </c>
      <c r="D17" s="16" t="s">
        <v>586</v>
      </c>
    </row>
    <row r="18">
      <c r="A18" s="16" t="s">
        <v>578</v>
      </c>
      <c r="B18" s="72">
        <v>43796.0</v>
      </c>
      <c r="C18" s="26">
        <v>69.5</v>
      </c>
      <c r="D18" s="16" t="s">
        <v>586</v>
      </c>
    </row>
    <row r="19">
      <c r="A19" s="16" t="s">
        <v>578</v>
      </c>
      <c r="B19" s="72">
        <v>43796.0</v>
      </c>
      <c r="C19" s="26">
        <v>70.0</v>
      </c>
      <c r="D19" s="16" t="s">
        <v>586</v>
      </c>
    </row>
    <row r="20">
      <c r="A20" s="16" t="s">
        <v>578</v>
      </c>
      <c r="B20" s="72">
        <v>43796.0</v>
      </c>
      <c r="C20" s="26">
        <v>70.25</v>
      </c>
      <c r="D20" s="16" t="s">
        <v>586</v>
      </c>
    </row>
    <row r="21">
      <c r="A21" s="16" t="s">
        <v>578</v>
      </c>
      <c r="B21" s="72">
        <v>43796.0</v>
      </c>
      <c r="C21" s="26">
        <v>70.5</v>
      </c>
      <c r="D21" s="16" t="s">
        <v>586</v>
      </c>
    </row>
    <row r="22">
      <c r="A22" s="16" t="s">
        <v>578</v>
      </c>
      <c r="B22" s="72">
        <v>43796.0</v>
      </c>
      <c r="C22" s="26">
        <v>70.75</v>
      </c>
      <c r="D22" s="16" t="s">
        <v>586</v>
      </c>
    </row>
    <row r="23">
      <c r="A23" s="16" t="s">
        <v>578</v>
      </c>
      <c r="B23" s="72">
        <v>43796.0</v>
      </c>
      <c r="C23" s="26">
        <v>71.0</v>
      </c>
      <c r="D23" s="16" t="s">
        <v>586</v>
      </c>
    </row>
    <row r="24">
      <c r="A24" s="16" t="s">
        <v>578</v>
      </c>
      <c r="B24" s="72">
        <v>43796.0</v>
      </c>
      <c r="C24" s="26">
        <v>71.25</v>
      </c>
      <c r="D24" s="16" t="s">
        <v>586</v>
      </c>
    </row>
    <row r="25">
      <c r="A25" s="16" t="s">
        <v>578</v>
      </c>
      <c r="B25" s="72">
        <v>43796.0</v>
      </c>
      <c r="C25" s="26">
        <v>71.5</v>
      </c>
      <c r="D25" s="16" t="s">
        <v>586</v>
      </c>
    </row>
    <row r="26">
      <c r="A26" s="16" t="s">
        <v>578</v>
      </c>
      <c r="B26" s="72">
        <v>43796.0</v>
      </c>
      <c r="C26" s="26">
        <v>71.75</v>
      </c>
      <c r="D26" s="16" t="s">
        <v>586</v>
      </c>
    </row>
    <row r="27">
      <c r="A27" s="16" t="s">
        <v>578</v>
      </c>
      <c r="B27" s="72">
        <v>43796.0</v>
      </c>
      <c r="C27" s="26">
        <v>72.0</v>
      </c>
      <c r="D27" s="16" t="s">
        <v>586</v>
      </c>
    </row>
    <row r="28">
      <c r="A28" s="16" t="s">
        <v>578</v>
      </c>
      <c r="B28" s="72">
        <v>43796.0</v>
      </c>
      <c r="C28" s="26">
        <v>72.25</v>
      </c>
      <c r="D28" s="16" t="s">
        <v>586</v>
      </c>
    </row>
    <row r="29">
      <c r="A29" s="16" t="s">
        <v>578</v>
      </c>
      <c r="B29" s="72">
        <v>43796.0</v>
      </c>
      <c r="C29" s="26">
        <v>72.5</v>
      </c>
      <c r="D29" s="16" t="s">
        <v>586</v>
      </c>
    </row>
    <row r="30">
      <c r="A30" s="16" t="s">
        <v>578</v>
      </c>
      <c r="B30" s="72">
        <v>43796.0</v>
      </c>
      <c r="C30" s="26">
        <v>73.0</v>
      </c>
      <c r="D30" s="16" t="s">
        <v>586</v>
      </c>
    </row>
    <row r="31">
      <c r="A31" s="16" t="s">
        <v>578</v>
      </c>
      <c r="B31" s="72">
        <v>43796.0</v>
      </c>
      <c r="C31" s="26">
        <v>69.0</v>
      </c>
      <c r="D31" s="16" t="s">
        <v>587</v>
      </c>
    </row>
    <row r="32">
      <c r="A32" s="16" t="s">
        <v>578</v>
      </c>
      <c r="B32" s="72">
        <v>43796.0</v>
      </c>
      <c r="C32" s="26">
        <v>69.5</v>
      </c>
      <c r="D32" s="16" t="s">
        <v>587</v>
      </c>
    </row>
    <row r="33">
      <c r="A33" s="16" t="s">
        <v>578</v>
      </c>
      <c r="B33" s="72">
        <v>43796.0</v>
      </c>
      <c r="C33" s="26">
        <v>70.0</v>
      </c>
      <c r="D33" s="16" t="s">
        <v>587</v>
      </c>
    </row>
    <row r="34">
      <c r="A34" s="16" t="s">
        <v>578</v>
      </c>
      <c r="B34" s="72">
        <v>43796.0</v>
      </c>
      <c r="C34" s="26">
        <v>70.25</v>
      </c>
      <c r="D34" s="16" t="s">
        <v>587</v>
      </c>
    </row>
    <row r="35">
      <c r="A35" s="16" t="s">
        <v>578</v>
      </c>
      <c r="B35" s="72">
        <v>43796.0</v>
      </c>
      <c r="C35" s="26">
        <v>70.5</v>
      </c>
      <c r="D35" s="16" t="s">
        <v>587</v>
      </c>
    </row>
    <row r="36">
      <c r="A36" s="16" t="s">
        <v>578</v>
      </c>
      <c r="B36" s="72">
        <v>43796.0</v>
      </c>
      <c r="C36" s="26">
        <v>70.75</v>
      </c>
      <c r="D36" s="16" t="s">
        <v>587</v>
      </c>
    </row>
    <row r="37">
      <c r="A37" s="16" t="s">
        <v>578</v>
      </c>
      <c r="B37" s="72">
        <v>43796.0</v>
      </c>
      <c r="C37" s="26">
        <v>71.0</v>
      </c>
      <c r="D37" s="16" t="s">
        <v>587</v>
      </c>
    </row>
    <row r="38">
      <c r="A38" s="16" t="s">
        <v>578</v>
      </c>
      <c r="B38" s="72">
        <v>43796.0</v>
      </c>
      <c r="C38" s="26">
        <v>71.25</v>
      </c>
      <c r="D38" s="16" t="s">
        <v>587</v>
      </c>
    </row>
    <row r="39">
      <c r="A39" s="16" t="s">
        <v>578</v>
      </c>
      <c r="B39" s="72">
        <v>43796.0</v>
      </c>
      <c r="C39" s="26">
        <v>71.5</v>
      </c>
      <c r="D39" s="16" t="s">
        <v>587</v>
      </c>
    </row>
    <row r="40">
      <c r="A40" s="16" t="s">
        <v>578</v>
      </c>
      <c r="B40" s="72">
        <v>43796.0</v>
      </c>
      <c r="C40" s="26">
        <v>72.0</v>
      </c>
      <c r="D40" s="16" t="s">
        <v>587</v>
      </c>
    </row>
    <row r="41">
      <c r="A41" s="16" t="s">
        <v>578</v>
      </c>
      <c r="B41" s="72">
        <v>43796.0</v>
      </c>
      <c r="C41" s="26">
        <v>73.0</v>
      </c>
      <c r="D41" s="16" t="s">
        <v>587</v>
      </c>
    </row>
    <row r="42">
      <c r="A42" s="16"/>
      <c r="B42" s="72"/>
      <c r="C42" s="26"/>
      <c r="D42" s="16"/>
    </row>
    <row r="43">
      <c r="A43" s="16"/>
      <c r="B43" s="72"/>
      <c r="C43" s="26"/>
      <c r="D43" s="16"/>
    </row>
    <row r="44">
      <c r="A44" s="16"/>
      <c r="B44" s="72"/>
      <c r="C44" s="26"/>
      <c r="D44" s="16"/>
    </row>
    <row r="45">
      <c r="A45" s="16"/>
      <c r="B45" s="72"/>
      <c r="C45" s="26"/>
      <c r="D45" s="16"/>
    </row>
    <row r="46">
      <c r="A46" s="16"/>
      <c r="B46" s="72"/>
      <c r="C46" s="26"/>
      <c r="D46" s="16"/>
    </row>
    <row r="47">
      <c r="A47" s="16"/>
      <c r="B47" s="72"/>
      <c r="C47" s="26"/>
      <c r="D47" s="16"/>
    </row>
    <row r="48">
      <c r="A48" s="16"/>
      <c r="B48" s="72"/>
      <c r="C48" s="26"/>
      <c r="D48" s="16"/>
    </row>
    <row r="49">
      <c r="A49" s="16"/>
      <c r="B49" s="72"/>
      <c r="C49" s="26"/>
      <c r="D49" s="16"/>
    </row>
    <row r="50">
      <c r="A50" s="16"/>
      <c r="B50" s="72"/>
      <c r="C50" s="26"/>
      <c r="D50" s="16"/>
    </row>
    <row r="51">
      <c r="A51" s="16"/>
      <c r="B51" s="72"/>
      <c r="C51" s="26"/>
      <c r="D51" s="16"/>
    </row>
    <row r="52">
      <c r="A52" s="16"/>
      <c r="B52" s="72"/>
      <c r="C52" s="26"/>
      <c r="D52" s="16"/>
    </row>
    <row r="53">
      <c r="A53" s="16"/>
      <c r="B53" s="72"/>
      <c r="C53" s="26"/>
      <c r="D53" s="16"/>
    </row>
    <row r="54">
      <c r="A54" s="16"/>
      <c r="B54" s="72"/>
      <c r="C54" s="26"/>
      <c r="D54" s="16"/>
    </row>
    <row r="55">
      <c r="A55" s="16"/>
      <c r="B55" s="72"/>
      <c r="C55" s="26"/>
      <c r="D55" s="16"/>
    </row>
    <row r="56">
      <c r="A56" s="16"/>
      <c r="B56" s="72"/>
      <c r="C56" s="26"/>
      <c r="D56" s="16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2.75"/>
  <cols>
    <col customWidth="1" min="1" max="1" width="20.14"/>
  </cols>
  <sheetData>
    <row r="1">
      <c r="A1" s="9" t="s">
        <v>588</v>
      </c>
      <c r="B1" s="6" t="s">
        <v>589</v>
      </c>
    </row>
    <row r="2">
      <c r="A2" s="16" t="s">
        <v>205</v>
      </c>
      <c r="B2" s="26">
        <v>2.5</v>
      </c>
    </row>
    <row r="3">
      <c r="A3" s="16" t="s">
        <v>206</v>
      </c>
      <c r="B3" s="26">
        <v>2.5</v>
      </c>
    </row>
    <row r="4">
      <c r="A4" s="16" t="s">
        <v>207</v>
      </c>
      <c r="B4" s="26">
        <v>2.5</v>
      </c>
    </row>
    <row r="5">
      <c r="A5" s="16" t="s">
        <v>208</v>
      </c>
      <c r="B5" s="26">
        <v>2.5</v>
      </c>
    </row>
    <row r="6">
      <c r="A6" s="16" t="s">
        <v>209</v>
      </c>
      <c r="B6" s="26">
        <v>2.5</v>
      </c>
    </row>
    <row r="7">
      <c r="A7" s="16" t="s">
        <v>210</v>
      </c>
      <c r="B7" s="26">
        <v>2.5</v>
      </c>
    </row>
    <row r="8">
      <c r="A8" s="16" t="s">
        <v>27</v>
      </c>
      <c r="B8" s="26">
        <v>4.0</v>
      </c>
    </row>
    <row r="9">
      <c r="A9" s="16" t="s">
        <v>29</v>
      </c>
      <c r="B9" s="26">
        <v>2.5</v>
      </c>
    </row>
    <row r="10">
      <c r="A10" s="16" t="s">
        <v>31</v>
      </c>
      <c r="B10" s="26">
        <v>4.0</v>
      </c>
    </row>
    <row r="11">
      <c r="A11" s="16" t="s">
        <v>32</v>
      </c>
      <c r="B11" s="26">
        <v>2.5</v>
      </c>
    </row>
    <row r="12">
      <c r="A12" s="16" t="s">
        <v>211</v>
      </c>
      <c r="B12" s="26">
        <v>2.5</v>
      </c>
    </row>
    <row r="13">
      <c r="A13" s="16" t="s">
        <v>212</v>
      </c>
      <c r="B13" s="26">
        <v>2.5</v>
      </c>
    </row>
    <row r="14">
      <c r="A14" s="16" t="s">
        <v>213</v>
      </c>
      <c r="B14" s="26">
        <v>2.5</v>
      </c>
    </row>
    <row r="15">
      <c r="A15" s="16" t="s">
        <v>214</v>
      </c>
      <c r="B15" s="26">
        <v>2.5</v>
      </c>
    </row>
    <row r="16">
      <c r="A16" s="16" t="s">
        <v>215</v>
      </c>
      <c r="B16" s="26">
        <v>2.5</v>
      </c>
    </row>
    <row r="17">
      <c r="A17" s="16" t="s">
        <v>216</v>
      </c>
      <c r="B17" s="26">
        <v>2.5</v>
      </c>
    </row>
    <row r="18">
      <c r="A18" s="16" t="s">
        <v>217</v>
      </c>
      <c r="B18" s="26">
        <v>2.5</v>
      </c>
    </row>
    <row r="19">
      <c r="A19" s="16" t="s">
        <v>218</v>
      </c>
      <c r="B19" s="26">
        <v>2.5</v>
      </c>
    </row>
    <row r="20">
      <c r="A20" s="16" t="s">
        <v>219</v>
      </c>
      <c r="B20" s="26">
        <v>2.5</v>
      </c>
    </row>
    <row r="21">
      <c r="A21" s="16" t="s">
        <v>34</v>
      </c>
      <c r="B21" s="26">
        <v>2.5</v>
      </c>
    </row>
    <row r="22">
      <c r="A22" s="16" t="s">
        <v>36</v>
      </c>
      <c r="B22" s="26">
        <v>4.0</v>
      </c>
    </row>
    <row r="23">
      <c r="A23" s="16" t="s">
        <v>220</v>
      </c>
      <c r="B23" s="26">
        <v>2.5</v>
      </c>
    </row>
    <row r="24">
      <c r="A24" s="16" t="s">
        <v>221</v>
      </c>
      <c r="B24" s="26">
        <v>2.5</v>
      </c>
    </row>
    <row r="25">
      <c r="A25" s="16" t="s">
        <v>222</v>
      </c>
      <c r="B25" s="26">
        <v>2.5</v>
      </c>
    </row>
    <row r="26">
      <c r="A26" s="16" t="s">
        <v>37</v>
      </c>
      <c r="B26" s="26">
        <v>2.5</v>
      </c>
    </row>
    <row r="27">
      <c r="A27" s="16" t="s">
        <v>39</v>
      </c>
      <c r="B27" s="26">
        <v>2.5</v>
      </c>
    </row>
    <row r="28">
      <c r="A28" s="16" t="s">
        <v>224</v>
      </c>
      <c r="B28" s="26">
        <v>2.5</v>
      </c>
    </row>
    <row r="29">
      <c r="A29" s="16" t="s">
        <v>226</v>
      </c>
      <c r="B29" s="26">
        <v>2.5</v>
      </c>
    </row>
    <row r="30">
      <c r="A30" s="16" t="s">
        <v>40</v>
      </c>
      <c r="B30" s="26">
        <v>3.3</v>
      </c>
    </row>
    <row r="31">
      <c r="A31" s="16" t="s">
        <v>42</v>
      </c>
      <c r="B31" s="26">
        <v>4.0</v>
      </c>
    </row>
    <row r="32">
      <c r="A32" s="16" t="s">
        <v>227</v>
      </c>
      <c r="B32" s="26">
        <v>2.5</v>
      </c>
    </row>
    <row r="33">
      <c r="A33" s="16" t="s">
        <v>228</v>
      </c>
      <c r="B33" s="26">
        <v>2.5</v>
      </c>
    </row>
    <row r="34">
      <c r="A34" s="16" t="s">
        <v>229</v>
      </c>
      <c r="B34" s="26">
        <v>2.5</v>
      </c>
    </row>
    <row r="35">
      <c r="A35" s="16" t="s">
        <v>231</v>
      </c>
      <c r="B35" s="26">
        <v>2.5</v>
      </c>
    </row>
    <row r="36">
      <c r="A36" s="16" t="s">
        <v>232</v>
      </c>
      <c r="B36" s="26">
        <v>2.5</v>
      </c>
    </row>
    <row r="37">
      <c r="A37" s="16" t="s">
        <v>43</v>
      </c>
      <c r="B37" s="26">
        <v>3.3</v>
      </c>
    </row>
    <row r="38">
      <c r="A38" s="16" t="s">
        <v>234</v>
      </c>
      <c r="B38" s="26">
        <v>2.5</v>
      </c>
    </row>
    <row r="39">
      <c r="A39" s="16" t="s">
        <v>44</v>
      </c>
      <c r="B39" s="26">
        <v>4.0</v>
      </c>
    </row>
    <row r="40">
      <c r="A40" s="16" t="s">
        <v>49</v>
      </c>
      <c r="B40" s="26">
        <v>4.0</v>
      </c>
    </row>
    <row r="41">
      <c r="A41" s="16" t="s">
        <v>235</v>
      </c>
      <c r="B41" s="26">
        <v>2.0</v>
      </c>
    </row>
    <row r="42">
      <c r="A42" s="16" t="s">
        <v>236</v>
      </c>
      <c r="B42" s="26">
        <v>2.5</v>
      </c>
    </row>
    <row r="43">
      <c r="A43" s="16" t="s">
        <v>52</v>
      </c>
      <c r="B43" s="26">
        <v>4.0</v>
      </c>
    </row>
    <row r="44">
      <c r="A44" s="16" t="s">
        <v>237</v>
      </c>
      <c r="B44" s="26">
        <v>3.1</v>
      </c>
    </row>
    <row r="45">
      <c r="A45" s="16" t="s">
        <v>53</v>
      </c>
      <c r="B45" s="26">
        <v>4.0</v>
      </c>
    </row>
    <row r="46">
      <c r="A46" s="16" t="s">
        <v>54</v>
      </c>
      <c r="B46" s="26">
        <v>2.5</v>
      </c>
    </row>
    <row r="47">
      <c r="A47" s="16" t="s">
        <v>238</v>
      </c>
      <c r="B47" s="26">
        <v>2.5</v>
      </c>
    </row>
    <row r="48">
      <c r="A48" s="16" t="s">
        <v>239</v>
      </c>
      <c r="B48" s="26">
        <v>2.5</v>
      </c>
    </row>
    <row r="49">
      <c r="A49" s="16" t="s">
        <v>55</v>
      </c>
      <c r="B49" s="26">
        <v>4.0</v>
      </c>
    </row>
    <row r="50">
      <c r="A50" s="16" t="s">
        <v>57</v>
      </c>
      <c r="B50" s="26">
        <v>2.5</v>
      </c>
    </row>
    <row r="51">
      <c r="A51" s="16" t="s">
        <v>241</v>
      </c>
      <c r="B51" s="26">
        <v>2.5</v>
      </c>
    </row>
    <row r="52">
      <c r="A52" s="16" t="s">
        <v>58</v>
      </c>
      <c r="B52" s="26">
        <v>2.5</v>
      </c>
    </row>
    <row r="53">
      <c r="A53" s="16" t="s">
        <v>242</v>
      </c>
      <c r="B53" s="26">
        <v>2.5</v>
      </c>
    </row>
    <row r="54">
      <c r="A54" s="16" t="s">
        <v>243</v>
      </c>
      <c r="B54" s="26">
        <v>2.5</v>
      </c>
    </row>
    <row r="55">
      <c r="A55" s="16" t="s">
        <v>244</v>
      </c>
      <c r="B55" s="26">
        <v>2.5</v>
      </c>
    </row>
    <row r="56">
      <c r="A56" s="16" t="s">
        <v>59</v>
      </c>
      <c r="B56" s="26">
        <v>2.5</v>
      </c>
    </row>
    <row r="57">
      <c r="A57" s="16" t="s">
        <v>245</v>
      </c>
      <c r="B57" s="26">
        <v>2.5</v>
      </c>
    </row>
    <row r="58">
      <c r="A58" s="16" t="s">
        <v>60</v>
      </c>
      <c r="B58" s="26">
        <v>4.0</v>
      </c>
    </row>
    <row r="59">
      <c r="A59" s="16" t="s">
        <v>246</v>
      </c>
      <c r="B59" s="26">
        <v>2.0</v>
      </c>
    </row>
    <row r="60">
      <c r="A60" s="16" t="s">
        <v>62</v>
      </c>
      <c r="B60" s="26">
        <v>2.5</v>
      </c>
    </row>
    <row r="61">
      <c r="A61" s="16" t="s">
        <v>63</v>
      </c>
      <c r="B61" s="26">
        <v>4.0</v>
      </c>
    </row>
    <row r="62">
      <c r="A62" s="16" t="s">
        <v>64</v>
      </c>
      <c r="B62" s="26">
        <v>2.5</v>
      </c>
    </row>
    <row r="63">
      <c r="A63" s="16" t="s">
        <v>65</v>
      </c>
      <c r="B63" s="26">
        <v>4.0</v>
      </c>
    </row>
    <row r="64">
      <c r="A64" s="16" t="s">
        <v>248</v>
      </c>
      <c r="B64" s="26">
        <v>2.5</v>
      </c>
    </row>
    <row r="65">
      <c r="A65" s="16" t="s">
        <v>249</v>
      </c>
      <c r="B65" s="26">
        <v>2.5</v>
      </c>
    </row>
    <row r="66">
      <c r="A66" s="16" t="s">
        <v>250</v>
      </c>
      <c r="B66" s="26">
        <v>2.5</v>
      </c>
    </row>
    <row r="67">
      <c r="A67" s="16" t="s">
        <v>251</v>
      </c>
      <c r="B67" s="26">
        <v>2.2</v>
      </c>
    </row>
    <row r="68">
      <c r="A68" s="16" t="s">
        <v>67</v>
      </c>
      <c r="B68" s="26">
        <v>4.0</v>
      </c>
    </row>
    <row r="69">
      <c r="A69" s="16" t="s">
        <v>68</v>
      </c>
      <c r="B69" s="26">
        <v>3.3</v>
      </c>
    </row>
    <row r="70">
      <c r="A70" s="16" t="s">
        <v>252</v>
      </c>
      <c r="B70" s="26">
        <v>2.5</v>
      </c>
    </row>
    <row r="71">
      <c r="A71" s="16" t="s">
        <v>69</v>
      </c>
      <c r="B71" s="26">
        <v>4.0</v>
      </c>
    </row>
    <row r="72">
      <c r="A72" s="16" t="s">
        <v>253</v>
      </c>
      <c r="B72" s="26">
        <v>2.5</v>
      </c>
    </row>
    <row r="73">
      <c r="A73" s="16" t="s">
        <v>254</v>
      </c>
      <c r="B73" s="26">
        <v>2.5</v>
      </c>
    </row>
    <row r="74">
      <c r="A74" s="16" t="s">
        <v>71</v>
      </c>
      <c r="B74" s="26">
        <v>4.0</v>
      </c>
    </row>
    <row r="75">
      <c r="A75" s="16" t="s">
        <v>72</v>
      </c>
      <c r="B75" s="26">
        <v>2.5</v>
      </c>
    </row>
    <row r="76">
      <c r="A76" s="16" t="s">
        <v>255</v>
      </c>
      <c r="B76" s="26">
        <v>2.5</v>
      </c>
    </row>
    <row r="77">
      <c r="A77" s="16" t="s">
        <v>256</v>
      </c>
      <c r="B77" s="26">
        <v>2.5</v>
      </c>
    </row>
    <row r="78">
      <c r="A78" s="16" t="s">
        <v>257</v>
      </c>
      <c r="B78" s="26">
        <v>2.5</v>
      </c>
    </row>
    <row r="79">
      <c r="A79" s="16" t="s">
        <v>258</v>
      </c>
      <c r="B79" s="26">
        <v>2.5</v>
      </c>
    </row>
    <row r="80">
      <c r="A80" s="16" t="s">
        <v>73</v>
      </c>
      <c r="B80" s="26">
        <v>2.5</v>
      </c>
    </row>
    <row r="81">
      <c r="A81" s="16" t="s">
        <v>259</v>
      </c>
      <c r="B81" s="26">
        <v>2.5</v>
      </c>
    </row>
    <row r="82">
      <c r="A82" s="16" t="s">
        <v>260</v>
      </c>
      <c r="B82" s="26">
        <v>2.5</v>
      </c>
    </row>
    <row r="83">
      <c r="A83" s="16" t="s">
        <v>261</v>
      </c>
      <c r="B83" s="26">
        <v>2.5</v>
      </c>
    </row>
    <row r="84">
      <c r="A84" s="16" t="s">
        <v>262</v>
      </c>
      <c r="B84" s="26">
        <v>2.5</v>
      </c>
    </row>
    <row r="85">
      <c r="A85" s="16" t="s">
        <v>263</v>
      </c>
      <c r="B85" s="26">
        <v>2.5</v>
      </c>
    </row>
    <row r="86">
      <c r="A86" s="16" t="s">
        <v>75</v>
      </c>
      <c r="B86" s="26">
        <v>2.5</v>
      </c>
    </row>
    <row r="87">
      <c r="A87" s="16" t="s">
        <v>264</v>
      </c>
      <c r="B87" s="26">
        <v>2.5</v>
      </c>
    </row>
    <row r="88">
      <c r="A88" s="16" t="s">
        <v>76</v>
      </c>
      <c r="B88" s="26">
        <v>2.5</v>
      </c>
    </row>
    <row r="89">
      <c r="A89" s="16" t="s">
        <v>265</v>
      </c>
      <c r="B89" s="26">
        <v>2.5</v>
      </c>
    </row>
    <row r="90">
      <c r="A90" s="16" t="s">
        <v>266</v>
      </c>
      <c r="B90" s="26">
        <v>2.5</v>
      </c>
    </row>
    <row r="91">
      <c r="A91" s="16" t="s">
        <v>267</v>
      </c>
      <c r="B91" s="26">
        <v>2.5</v>
      </c>
    </row>
    <row r="92">
      <c r="A92" s="16" t="s">
        <v>79</v>
      </c>
      <c r="B92" s="26">
        <v>2.5</v>
      </c>
    </row>
    <row r="93">
      <c r="A93" s="16" t="s">
        <v>268</v>
      </c>
      <c r="B93" s="26">
        <v>2.5</v>
      </c>
    </row>
    <row r="94">
      <c r="A94" s="16" t="s">
        <v>80</v>
      </c>
      <c r="B94" s="26">
        <v>4.0</v>
      </c>
    </row>
    <row r="95">
      <c r="A95" s="16" t="s">
        <v>81</v>
      </c>
      <c r="B95" s="26">
        <v>4.0</v>
      </c>
    </row>
    <row r="96">
      <c r="A96" s="16" t="s">
        <v>269</v>
      </c>
      <c r="B96" s="26">
        <v>2.5</v>
      </c>
    </row>
    <row r="97">
      <c r="A97" s="16" t="s">
        <v>83</v>
      </c>
      <c r="B97" s="26">
        <v>4.0</v>
      </c>
    </row>
    <row r="98">
      <c r="A98" s="16" t="s">
        <v>84</v>
      </c>
      <c r="B98" s="26">
        <v>4.0</v>
      </c>
    </row>
    <row r="99">
      <c r="A99" s="16" t="s">
        <v>270</v>
      </c>
      <c r="B99" s="26">
        <v>2.5</v>
      </c>
    </row>
    <row r="100">
      <c r="A100" s="16" t="s">
        <v>271</v>
      </c>
      <c r="B100" s="26">
        <v>2.5</v>
      </c>
    </row>
    <row r="101">
      <c r="A101" s="16" t="s">
        <v>272</v>
      </c>
      <c r="B101" s="26">
        <v>2.5</v>
      </c>
    </row>
    <row r="102">
      <c r="A102" s="16" t="s">
        <v>273</v>
      </c>
      <c r="B102" s="26">
        <v>2.5</v>
      </c>
    </row>
    <row r="103">
      <c r="A103" s="16" t="s">
        <v>274</v>
      </c>
      <c r="B103" s="26">
        <v>2.5</v>
      </c>
    </row>
    <row r="104">
      <c r="A104" s="16" t="s">
        <v>275</v>
      </c>
      <c r="B104" s="26">
        <v>2.5</v>
      </c>
    </row>
    <row r="105">
      <c r="A105" s="16" t="s">
        <v>85</v>
      </c>
      <c r="B105" s="26">
        <v>2.5</v>
      </c>
    </row>
    <row r="106">
      <c r="A106" s="16" t="s">
        <v>276</v>
      </c>
      <c r="B106" s="26">
        <v>2.5</v>
      </c>
    </row>
    <row r="107">
      <c r="A107" s="16" t="s">
        <v>86</v>
      </c>
      <c r="B107" s="26">
        <v>4.0</v>
      </c>
    </row>
    <row r="108">
      <c r="A108" s="16" t="s">
        <v>277</v>
      </c>
      <c r="B108" s="26">
        <v>2.5</v>
      </c>
    </row>
    <row r="109">
      <c r="A109" s="16" t="s">
        <v>278</v>
      </c>
      <c r="B109" s="26">
        <v>2.5</v>
      </c>
    </row>
    <row r="110">
      <c r="A110" s="16" t="s">
        <v>279</v>
      </c>
      <c r="B110" s="26">
        <v>2.2</v>
      </c>
    </row>
    <row r="111">
      <c r="A111" s="16" t="s">
        <v>280</v>
      </c>
      <c r="B111" s="26">
        <v>2.2</v>
      </c>
    </row>
    <row r="112">
      <c r="A112" s="16" t="s">
        <v>281</v>
      </c>
      <c r="B112" s="26">
        <v>2.5</v>
      </c>
    </row>
    <row r="113">
      <c r="A113" s="16" t="s">
        <v>282</v>
      </c>
      <c r="B113" s="26">
        <v>2.5</v>
      </c>
    </row>
    <row r="114">
      <c r="A114" s="16" t="s">
        <v>283</v>
      </c>
      <c r="B114" s="26">
        <v>2.5</v>
      </c>
    </row>
    <row r="115">
      <c r="A115" s="16" t="s">
        <v>284</v>
      </c>
      <c r="B115" s="26">
        <v>2.5</v>
      </c>
    </row>
    <row r="116">
      <c r="A116" s="16" t="s">
        <v>285</v>
      </c>
      <c r="B116" s="26">
        <v>2.5</v>
      </c>
    </row>
    <row r="117">
      <c r="A117" s="16" t="s">
        <v>87</v>
      </c>
      <c r="B117" s="26">
        <v>1.7</v>
      </c>
    </row>
    <row r="118">
      <c r="A118" s="16" t="s">
        <v>88</v>
      </c>
      <c r="B118" s="26">
        <v>4.0</v>
      </c>
    </row>
    <row r="119">
      <c r="A119" s="16" t="s">
        <v>89</v>
      </c>
      <c r="B119" s="26">
        <v>3.3</v>
      </c>
    </row>
    <row r="120">
      <c r="A120" s="16" t="s">
        <v>286</v>
      </c>
      <c r="B120" s="26">
        <v>3.1</v>
      </c>
    </row>
    <row r="121">
      <c r="A121" s="16" t="s">
        <v>90</v>
      </c>
      <c r="B121" s="26">
        <v>4.0</v>
      </c>
    </row>
    <row r="122">
      <c r="A122" s="16" t="s">
        <v>287</v>
      </c>
      <c r="B122" s="26">
        <v>2.5</v>
      </c>
    </row>
    <row r="123">
      <c r="A123" s="16" t="s">
        <v>91</v>
      </c>
      <c r="B123" s="26">
        <v>3.3</v>
      </c>
    </row>
    <row r="124">
      <c r="A124" s="16" t="s">
        <v>288</v>
      </c>
      <c r="B124" s="26">
        <v>2.5</v>
      </c>
    </row>
    <row r="125">
      <c r="A125" s="16" t="s">
        <v>289</v>
      </c>
      <c r="B125" s="26">
        <v>2.5</v>
      </c>
    </row>
    <row r="126">
      <c r="A126" s="16" t="s">
        <v>290</v>
      </c>
      <c r="B126" s="26">
        <v>2.5</v>
      </c>
    </row>
    <row r="127">
      <c r="A127" s="16" t="s">
        <v>291</v>
      </c>
      <c r="B127" s="26">
        <v>2.5</v>
      </c>
    </row>
    <row r="128">
      <c r="A128" s="16" t="s">
        <v>292</v>
      </c>
      <c r="B128" s="26">
        <v>2.5</v>
      </c>
    </row>
    <row r="129">
      <c r="A129" s="16" t="s">
        <v>293</v>
      </c>
      <c r="B129" s="26">
        <v>2.5</v>
      </c>
    </row>
    <row r="130">
      <c r="A130" s="16" t="s">
        <v>92</v>
      </c>
      <c r="B130" s="26">
        <v>2.5</v>
      </c>
    </row>
    <row r="131">
      <c r="A131" s="16" t="s">
        <v>294</v>
      </c>
      <c r="B131" s="26">
        <v>2.5</v>
      </c>
    </row>
    <row r="132">
      <c r="A132" s="16" t="s">
        <v>93</v>
      </c>
      <c r="B132" s="26">
        <v>2.5</v>
      </c>
    </row>
    <row r="133">
      <c r="A133" s="16" t="s">
        <v>295</v>
      </c>
      <c r="B133" s="26">
        <v>2.5</v>
      </c>
    </row>
    <row r="134">
      <c r="A134" s="16" t="s">
        <v>95</v>
      </c>
      <c r="B134" s="26">
        <v>2.5</v>
      </c>
    </row>
    <row r="135">
      <c r="A135" s="16" t="s">
        <v>296</v>
      </c>
      <c r="B135" s="26">
        <v>2.5</v>
      </c>
    </row>
    <row r="136">
      <c r="A136" s="16" t="s">
        <v>297</v>
      </c>
      <c r="B136" s="26">
        <v>2.5</v>
      </c>
    </row>
    <row r="137">
      <c r="A137" s="16" t="s">
        <v>97</v>
      </c>
      <c r="B137" s="26">
        <v>2.5</v>
      </c>
    </row>
    <row r="138">
      <c r="A138" s="16" t="s">
        <v>298</v>
      </c>
      <c r="B138" s="26">
        <v>2.5</v>
      </c>
    </row>
    <row r="139">
      <c r="A139" s="16" t="s">
        <v>299</v>
      </c>
      <c r="B139" s="26">
        <v>2.5</v>
      </c>
    </row>
    <row r="140">
      <c r="A140" s="16" t="s">
        <v>300</v>
      </c>
      <c r="B140" s="26">
        <v>2.5</v>
      </c>
    </row>
    <row r="141">
      <c r="A141" s="16" t="s">
        <v>301</v>
      </c>
      <c r="B141" s="26">
        <v>2.5</v>
      </c>
    </row>
    <row r="142">
      <c r="A142" s="16" t="s">
        <v>302</v>
      </c>
      <c r="B142" s="26">
        <v>2.5</v>
      </c>
    </row>
    <row r="143">
      <c r="A143" s="16" t="s">
        <v>303</v>
      </c>
      <c r="B143" s="26">
        <v>2.5</v>
      </c>
    </row>
    <row r="144">
      <c r="A144" s="16" t="s">
        <v>304</v>
      </c>
      <c r="B144" s="26">
        <v>2.5</v>
      </c>
    </row>
    <row r="145">
      <c r="A145" s="16" t="s">
        <v>99</v>
      </c>
      <c r="B145" s="26">
        <v>4.0</v>
      </c>
    </row>
    <row r="146">
      <c r="A146" s="16" t="s">
        <v>305</v>
      </c>
      <c r="B146" s="26">
        <v>2.5</v>
      </c>
    </row>
    <row r="147">
      <c r="A147" s="16" t="s">
        <v>306</v>
      </c>
      <c r="B147" s="26">
        <v>2.5</v>
      </c>
    </row>
    <row r="148">
      <c r="A148" s="16" t="s">
        <v>307</v>
      </c>
      <c r="B148" s="26">
        <v>2.5</v>
      </c>
    </row>
    <row r="149">
      <c r="A149" s="16" t="s">
        <v>308</v>
      </c>
      <c r="B149" s="26">
        <v>2.5</v>
      </c>
    </row>
    <row r="150">
      <c r="A150" s="16" t="s">
        <v>309</v>
      </c>
      <c r="B150" s="26">
        <v>2.5</v>
      </c>
    </row>
    <row r="151">
      <c r="A151" s="16" t="s">
        <v>310</v>
      </c>
      <c r="B151" s="26">
        <v>2.2</v>
      </c>
    </row>
    <row r="152">
      <c r="A152" s="16" t="s">
        <v>311</v>
      </c>
      <c r="B152" s="26">
        <v>2.5</v>
      </c>
    </row>
    <row r="153">
      <c r="A153" s="16" t="s">
        <v>312</v>
      </c>
      <c r="B153" s="26">
        <v>2.0</v>
      </c>
    </row>
    <row r="154">
      <c r="A154" s="16" t="s">
        <v>313</v>
      </c>
      <c r="B154" s="26">
        <v>2.5</v>
      </c>
    </row>
    <row r="155">
      <c r="A155" s="16" t="s">
        <v>314</v>
      </c>
      <c r="B155" s="26">
        <v>2.5</v>
      </c>
    </row>
    <row r="156">
      <c r="A156" s="16" t="s">
        <v>101</v>
      </c>
      <c r="B156" s="26">
        <v>2.5</v>
      </c>
    </row>
    <row r="157">
      <c r="A157" s="16" t="s">
        <v>315</v>
      </c>
      <c r="B157" s="26">
        <v>2.5</v>
      </c>
    </row>
    <row r="158">
      <c r="A158" s="16" t="s">
        <v>103</v>
      </c>
      <c r="B158" s="26">
        <v>2.5</v>
      </c>
    </row>
    <row r="159">
      <c r="A159" s="16" t="s">
        <v>316</v>
      </c>
      <c r="B159" s="26">
        <v>2.5</v>
      </c>
    </row>
    <row r="160">
      <c r="A160" s="16" t="s">
        <v>317</v>
      </c>
      <c r="B160" s="26">
        <v>2.5</v>
      </c>
    </row>
    <row r="161">
      <c r="A161" s="16" t="s">
        <v>318</v>
      </c>
      <c r="B161" s="26">
        <v>2.5</v>
      </c>
    </row>
    <row r="162">
      <c r="A162" s="16" t="s">
        <v>104</v>
      </c>
      <c r="B162" s="26">
        <v>4.0</v>
      </c>
    </row>
    <row r="163">
      <c r="A163" s="16" t="s">
        <v>319</v>
      </c>
      <c r="B163" s="26">
        <v>2.5</v>
      </c>
    </row>
    <row r="164">
      <c r="A164" s="16" t="s">
        <v>320</v>
      </c>
      <c r="B164" s="26">
        <v>2.5</v>
      </c>
    </row>
    <row r="165">
      <c r="A165" s="16" t="s">
        <v>321</v>
      </c>
      <c r="B165" s="26">
        <v>2.5</v>
      </c>
    </row>
    <row r="166">
      <c r="A166" s="16" t="s">
        <v>322</v>
      </c>
      <c r="B166" s="26">
        <v>2.5</v>
      </c>
    </row>
    <row r="167">
      <c r="A167" s="16" t="s">
        <v>323</v>
      </c>
      <c r="B167" s="26">
        <v>2.2</v>
      </c>
    </row>
    <row r="168">
      <c r="A168" s="16" t="s">
        <v>105</v>
      </c>
      <c r="B168" s="26">
        <v>4.0</v>
      </c>
    </row>
    <row r="169">
      <c r="A169" s="16" t="s">
        <v>324</v>
      </c>
      <c r="B169" s="26">
        <v>2.5</v>
      </c>
    </row>
    <row r="170">
      <c r="A170" s="16" t="s">
        <v>325</v>
      </c>
      <c r="B170" s="26">
        <v>2.5</v>
      </c>
    </row>
    <row r="171">
      <c r="A171" s="16" t="s">
        <v>326</v>
      </c>
      <c r="B171" s="26">
        <v>2.5</v>
      </c>
    </row>
    <row r="172">
      <c r="A172" s="16" t="s">
        <v>327</v>
      </c>
      <c r="B172" s="26">
        <v>2.5</v>
      </c>
    </row>
    <row r="173">
      <c r="A173" s="16" t="s">
        <v>328</v>
      </c>
      <c r="B173" s="26">
        <v>2.5</v>
      </c>
    </row>
    <row r="174">
      <c r="A174" s="16" t="s">
        <v>329</v>
      </c>
      <c r="B174" s="26">
        <v>2.5</v>
      </c>
    </row>
    <row r="175">
      <c r="A175" s="16" t="s">
        <v>330</v>
      </c>
      <c r="B175" s="26">
        <v>2.5</v>
      </c>
    </row>
    <row r="176">
      <c r="A176" s="16" t="s">
        <v>331</v>
      </c>
      <c r="B176" s="26">
        <v>2.5</v>
      </c>
    </row>
    <row r="177">
      <c r="A177" s="16" t="s">
        <v>332</v>
      </c>
      <c r="B177" s="26">
        <v>2.5</v>
      </c>
    </row>
    <row r="178">
      <c r="A178" s="16" t="s">
        <v>333</v>
      </c>
      <c r="B178" s="26">
        <v>2.0</v>
      </c>
    </row>
    <row r="179">
      <c r="A179" s="16" t="s">
        <v>334</v>
      </c>
      <c r="B179" s="26">
        <v>2.5</v>
      </c>
    </row>
    <row r="180">
      <c r="A180" s="16" t="s">
        <v>106</v>
      </c>
      <c r="B180" s="26">
        <v>4.0</v>
      </c>
    </row>
    <row r="181">
      <c r="A181" s="16" t="s">
        <v>335</v>
      </c>
      <c r="B181" s="26">
        <v>2.5</v>
      </c>
    </row>
    <row r="182">
      <c r="A182" s="16" t="s">
        <v>107</v>
      </c>
      <c r="B182" s="26">
        <v>4.0</v>
      </c>
    </row>
    <row r="183">
      <c r="A183" s="16" t="s">
        <v>108</v>
      </c>
      <c r="B183" s="26">
        <v>4.0</v>
      </c>
    </row>
    <row r="184">
      <c r="A184" s="16" t="s">
        <v>336</v>
      </c>
      <c r="B184" s="26">
        <v>2.5</v>
      </c>
    </row>
    <row r="185">
      <c r="A185" s="16" t="s">
        <v>109</v>
      </c>
      <c r="B185" s="26">
        <v>4.0</v>
      </c>
    </row>
    <row r="186">
      <c r="A186" s="16" t="s">
        <v>337</v>
      </c>
      <c r="B186" s="26">
        <v>3.1</v>
      </c>
    </row>
    <row r="187">
      <c r="A187" s="16" t="s">
        <v>338</v>
      </c>
      <c r="B187" s="26">
        <v>2.0</v>
      </c>
    </row>
    <row r="188">
      <c r="A188" s="16" t="s">
        <v>339</v>
      </c>
      <c r="B188" s="26">
        <v>2.5</v>
      </c>
    </row>
    <row r="189">
      <c r="A189" s="16" t="s">
        <v>340</v>
      </c>
      <c r="B189" s="26">
        <v>2.5</v>
      </c>
    </row>
    <row r="190">
      <c r="A190" s="16" t="s">
        <v>110</v>
      </c>
      <c r="B190" s="26">
        <v>4.0</v>
      </c>
    </row>
    <row r="191">
      <c r="A191" s="16" t="s">
        <v>111</v>
      </c>
      <c r="B191" s="26">
        <v>2.5</v>
      </c>
    </row>
    <row r="192">
      <c r="A192" s="16" t="s">
        <v>341</v>
      </c>
      <c r="B192" s="26">
        <v>2.5</v>
      </c>
    </row>
    <row r="193">
      <c r="A193" s="16" t="s">
        <v>342</v>
      </c>
      <c r="B193" s="26">
        <v>2.5</v>
      </c>
    </row>
    <row r="194">
      <c r="A194" s="16" t="s">
        <v>113</v>
      </c>
      <c r="B194" s="26">
        <v>4.0</v>
      </c>
    </row>
    <row r="195">
      <c r="A195" s="16" t="s">
        <v>343</v>
      </c>
      <c r="B195" s="26">
        <v>2.2</v>
      </c>
    </row>
    <row r="196">
      <c r="A196" s="16" t="s">
        <v>114</v>
      </c>
      <c r="B196" s="26">
        <v>4.0</v>
      </c>
    </row>
    <row r="197">
      <c r="A197" s="16" t="s">
        <v>115</v>
      </c>
      <c r="B197" s="26">
        <v>4.0</v>
      </c>
    </row>
    <row r="198">
      <c r="A198" s="16" t="s">
        <v>344</v>
      </c>
      <c r="B198" s="26">
        <v>3.1</v>
      </c>
    </row>
    <row r="199">
      <c r="A199" s="16" t="s">
        <v>345</v>
      </c>
      <c r="B199" s="26">
        <v>2.5</v>
      </c>
    </row>
    <row r="200">
      <c r="A200" s="16" t="s">
        <v>346</v>
      </c>
      <c r="B200" s="26">
        <v>2.5</v>
      </c>
    </row>
    <row r="201">
      <c r="A201" s="16" t="s">
        <v>347</v>
      </c>
      <c r="B201" s="26">
        <v>2.5</v>
      </c>
    </row>
    <row r="202">
      <c r="A202" s="16" t="s">
        <v>116</v>
      </c>
      <c r="B202" s="26">
        <v>1.5</v>
      </c>
    </row>
    <row r="203">
      <c r="A203" s="16" t="s">
        <v>117</v>
      </c>
      <c r="B203" s="26">
        <v>4.0</v>
      </c>
    </row>
    <row r="204">
      <c r="A204" s="16" t="s">
        <v>348</v>
      </c>
      <c r="B204" s="26">
        <v>2.9</v>
      </c>
    </row>
    <row r="205">
      <c r="A205" s="16" t="s">
        <v>119</v>
      </c>
      <c r="B205" s="26">
        <v>4.0</v>
      </c>
    </row>
    <row r="206">
      <c r="A206" s="16" t="s">
        <v>349</v>
      </c>
      <c r="B206" s="26">
        <v>2.5</v>
      </c>
    </row>
    <row r="207">
      <c r="A207" s="16" t="s">
        <v>350</v>
      </c>
      <c r="B207" s="26">
        <v>2.2</v>
      </c>
    </row>
    <row r="208">
      <c r="A208" s="16" t="s">
        <v>120</v>
      </c>
      <c r="B208" s="26">
        <v>1.7</v>
      </c>
    </row>
    <row r="209">
      <c r="A209" s="16" t="s">
        <v>351</v>
      </c>
      <c r="B209" s="26">
        <v>2.5</v>
      </c>
    </row>
    <row r="210">
      <c r="A210" s="16" t="s">
        <v>121</v>
      </c>
      <c r="B210" s="26">
        <v>2.5</v>
      </c>
    </row>
    <row r="211">
      <c r="A211" s="16" t="s">
        <v>352</v>
      </c>
      <c r="B211" s="26">
        <v>2.5</v>
      </c>
    </row>
    <row r="212">
      <c r="A212" s="16" t="s">
        <v>353</v>
      </c>
      <c r="B212" s="26">
        <v>2.5</v>
      </c>
    </row>
    <row r="213">
      <c r="A213" s="16" t="s">
        <v>354</v>
      </c>
      <c r="B213" s="26">
        <v>2.5</v>
      </c>
    </row>
    <row r="214">
      <c r="A214" s="16" t="s">
        <v>122</v>
      </c>
      <c r="B214" s="26">
        <v>2.5</v>
      </c>
    </row>
    <row r="215">
      <c r="A215" s="16" t="s">
        <v>355</v>
      </c>
      <c r="B215" s="26">
        <v>2.5</v>
      </c>
    </row>
    <row r="216">
      <c r="A216" s="16" t="s">
        <v>356</v>
      </c>
      <c r="B216" s="26">
        <v>2.5</v>
      </c>
    </row>
    <row r="217">
      <c r="A217" s="16" t="s">
        <v>357</v>
      </c>
      <c r="B217" s="26">
        <v>2.2</v>
      </c>
    </row>
    <row r="218">
      <c r="A218" s="16" t="s">
        <v>123</v>
      </c>
      <c r="B218" s="26">
        <v>3.3</v>
      </c>
    </row>
    <row r="219">
      <c r="A219" s="16" t="s">
        <v>358</v>
      </c>
      <c r="B219" s="26">
        <v>2.5</v>
      </c>
    </row>
    <row r="220">
      <c r="A220" s="16" t="s">
        <v>359</v>
      </c>
      <c r="B220" s="26">
        <v>2.5</v>
      </c>
    </row>
    <row r="221">
      <c r="A221" s="16" t="s">
        <v>124</v>
      </c>
      <c r="B221" s="26">
        <v>3.3</v>
      </c>
    </row>
    <row r="222">
      <c r="A222" s="16" t="s">
        <v>360</v>
      </c>
      <c r="B222" s="26">
        <v>2.5</v>
      </c>
    </row>
    <row r="223">
      <c r="A223" s="16" t="s">
        <v>125</v>
      </c>
      <c r="B223" s="26">
        <v>3.3</v>
      </c>
    </row>
    <row r="224">
      <c r="A224" s="16" t="s">
        <v>126</v>
      </c>
      <c r="B224" s="26">
        <v>3.1</v>
      </c>
    </row>
    <row r="225">
      <c r="A225" s="16" t="s">
        <v>361</v>
      </c>
      <c r="B225" s="26">
        <v>2.5</v>
      </c>
    </row>
    <row r="226">
      <c r="A226" s="16" t="s">
        <v>362</v>
      </c>
      <c r="B226" s="26">
        <v>2.5</v>
      </c>
    </row>
    <row r="227">
      <c r="A227" s="16" t="s">
        <v>363</v>
      </c>
      <c r="B227" s="26">
        <v>2.5</v>
      </c>
    </row>
    <row r="228">
      <c r="A228" s="16" t="s">
        <v>127</v>
      </c>
      <c r="B228" s="26">
        <v>4.0</v>
      </c>
    </row>
    <row r="229">
      <c r="A229" s="16" t="s">
        <v>364</v>
      </c>
      <c r="B229" s="26">
        <v>2.5</v>
      </c>
    </row>
    <row r="230">
      <c r="A230" s="16" t="s">
        <v>365</v>
      </c>
      <c r="B230" s="26">
        <v>2.2</v>
      </c>
    </row>
    <row r="231">
      <c r="A231" s="16" t="s">
        <v>366</v>
      </c>
      <c r="B231" s="26">
        <v>2.5</v>
      </c>
    </row>
    <row r="232">
      <c r="A232" s="16" t="s">
        <v>128</v>
      </c>
      <c r="B232" s="26">
        <v>4.0</v>
      </c>
    </row>
    <row r="233">
      <c r="A233" s="16" t="s">
        <v>367</v>
      </c>
      <c r="B233" s="26">
        <v>1.8</v>
      </c>
    </row>
    <row r="234">
      <c r="A234" s="16" t="s">
        <v>368</v>
      </c>
      <c r="B234" s="26">
        <v>2.5</v>
      </c>
    </row>
    <row r="235">
      <c r="A235" s="16" t="s">
        <v>369</v>
      </c>
      <c r="B235" s="26">
        <v>2.2</v>
      </c>
    </row>
    <row r="236">
      <c r="A236" s="16" t="s">
        <v>370</v>
      </c>
      <c r="B236" s="26">
        <v>2.5</v>
      </c>
    </row>
    <row r="237">
      <c r="A237" s="16" t="s">
        <v>371</v>
      </c>
      <c r="B237" s="26">
        <v>2.5</v>
      </c>
    </row>
    <row r="238">
      <c r="A238" s="16" t="s">
        <v>372</v>
      </c>
      <c r="B238" s="26">
        <v>2.2</v>
      </c>
    </row>
    <row r="239">
      <c r="A239" s="16" t="s">
        <v>373</v>
      </c>
      <c r="B239" s="26">
        <v>2.5</v>
      </c>
    </row>
    <row r="240">
      <c r="A240" s="16" t="s">
        <v>374</v>
      </c>
      <c r="B240" s="26">
        <v>2.5</v>
      </c>
    </row>
    <row r="241">
      <c r="A241" s="16" t="s">
        <v>129</v>
      </c>
      <c r="B241" s="26">
        <v>2.5</v>
      </c>
    </row>
    <row r="242">
      <c r="A242" s="16" t="s">
        <v>375</v>
      </c>
      <c r="B242" s="26">
        <v>2.5</v>
      </c>
    </row>
    <row r="243">
      <c r="A243" s="16" t="s">
        <v>377</v>
      </c>
      <c r="B243" s="26">
        <v>2.5</v>
      </c>
    </row>
    <row r="244">
      <c r="A244" s="16" t="s">
        <v>378</v>
      </c>
      <c r="B244" s="26">
        <v>2.5</v>
      </c>
    </row>
    <row r="245">
      <c r="A245" s="16" t="s">
        <v>379</v>
      </c>
      <c r="B245" s="26">
        <v>2.5</v>
      </c>
    </row>
    <row r="246">
      <c r="A246" s="16" t="s">
        <v>380</v>
      </c>
      <c r="B246" s="26">
        <v>2.5</v>
      </c>
    </row>
    <row r="247">
      <c r="A247" s="16" t="s">
        <v>381</v>
      </c>
      <c r="B247" s="26">
        <v>2.5</v>
      </c>
    </row>
    <row r="248">
      <c r="A248" s="16" t="s">
        <v>382</v>
      </c>
      <c r="B248" s="26">
        <v>2.5</v>
      </c>
    </row>
    <row r="249">
      <c r="A249" s="16" t="s">
        <v>130</v>
      </c>
      <c r="B249" s="26">
        <v>4.0</v>
      </c>
    </row>
    <row r="250">
      <c r="A250" s="16" t="s">
        <v>383</v>
      </c>
      <c r="B250" s="26">
        <v>2.5</v>
      </c>
    </row>
    <row r="251">
      <c r="A251" s="16" t="s">
        <v>131</v>
      </c>
      <c r="B251" s="26">
        <v>2.5</v>
      </c>
    </row>
    <row r="252">
      <c r="A252" s="16" t="s">
        <v>132</v>
      </c>
      <c r="B252" s="26">
        <v>2.5</v>
      </c>
    </row>
    <row r="253">
      <c r="A253" s="16" t="s">
        <v>384</v>
      </c>
      <c r="B253" s="26">
        <v>2.5</v>
      </c>
    </row>
    <row r="254">
      <c r="A254" s="16" t="s">
        <v>385</v>
      </c>
      <c r="B254" s="26">
        <v>2.5</v>
      </c>
    </row>
    <row r="255">
      <c r="A255" s="16" t="s">
        <v>386</v>
      </c>
      <c r="B255" s="26">
        <v>2.5</v>
      </c>
    </row>
    <row r="256">
      <c r="A256" s="16" t="s">
        <v>387</v>
      </c>
      <c r="B256" s="26">
        <v>2.5</v>
      </c>
    </row>
    <row r="257">
      <c r="A257" s="16" t="s">
        <v>388</v>
      </c>
      <c r="B257" s="26">
        <v>2.5</v>
      </c>
    </row>
    <row r="258">
      <c r="A258" s="16" t="s">
        <v>389</v>
      </c>
      <c r="B258" s="26">
        <v>2.5</v>
      </c>
    </row>
    <row r="259">
      <c r="A259" s="16" t="s">
        <v>391</v>
      </c>
      <c r="B259" s="26">
        <v>2.5</v>
      </c>
    </row>
    <row r="260">
      <c r="A260" s="16" t="s">
        <v>392</v>
      </c>
      <c r="B260" s="26">
        <v>2.5</v>
      </c>
    </row>
    <row r="261">
      <c r="A261" s="16" t="s">
        <v>393</v>
      </c>
      <c r="B261" s="26">
        <v>2.5</v>
      </c>
    </row>
    <row r="262">
      <c r="A262" s="16" t="s">
        <v>394</v>
      </c>
      <c r="B262" s="26">
        <v>2.5</v>
      </c>
    </row>
    <row r="263">
      <c r="A263" s="16" t="s">
        <v>395</v>
      </c>
      <c r="B263" s="26">
        <v>2.5</v>
      </c>
      <c r="E263" s="74"/>
    </row>
    <row r="264">
      <c r="A264" s="16" t="s">
        <v>133</v>
      </c>
      <c r="B264" s="26">
        <v>4.0</v>
      </c>
    </row>
    <row r="265">
      <c r="A265" s="16" t="s">
        <v>396</v>
      </c>
      <c r="B265" s="26">
        <v>2.5</v>
      </c>
    </row>
    <row r="266">
      <c r="A266" s="16" t="s">
        <v>397</v>
      </c>
      <c r="B266" s="26">
        <v>2.5</v>
      </c>
    </row>
    <row r="267">
      <c r="A267" s="16" t="s">
        <v>398</v>
      </c>
      <c r="B267" s="26">
        <v>2.5</v>
      </c>
    </row>
    <row r="268">
      <c r="A268" s="16" t="s">
        <v>399</v>
      </c>
      <c r="B268" s="26">
        <v>2.5</v>
      </c>
    </row>
    <row r="269">
      <c r="A269" s="16" t="s">
        <v>134</v>
      </c>
      <c r="B269" s="26">
        <v>3.3</v>
      </c>
    </row>
    <row r="270">
      <c r="A270" s="16" t="s">
        <v>400</v>
      </c>
      <c r="B270" s="26">
        <v>2.5</v>
      </c>
    </row>
    <row r="271">
      <c r="A271" s="16" t="s">
        <v>401</v>
      </c>
      <c r="B271" s="26">
        <v>2.5</v>
      </c>
    </row>
    <row r="272">
      <c r="A272" s="16" t="s">
        <v>402</v>
      </c>
      <c r="B272" s="26">
        <v>2.5</v>
      </c>
    </row>
    <row r="273">
      <c r="A273" s="16" t="s">
        <v>403</v>
      </c>
      <c r="B273" s="26">
        <v>2.5</v>
      </c>
    </row>
    <row r="274">
      <c r="A274" s="16" t="s">
        <v>404</v>
      </c>
      <c r="B274" s="26">
        <v>2.5</v>
      </c>
    </row>
    <row r="275">
      <c r="A275" s="16" t="s">
        <v>135</v>
      </c>
      <c r="B275" s="26">
        <v>2.5</v>
      </c>
    </row>
    <row r="276">
      <c r="A276" s="16" t="s">
        <v>405</v>
      </c>
      <c r="B276" s="26">
        <v>2.5</v>
      </c>
    </row>
    <row r="277">
      <c r="A277" s="16" t="s">
        <v>136</v>
      </c>
      <c r="B277" s="26">
        <v>4.0</v>
      </c>
    </row>
    <row r="278">
      <c r="A278" s="16" t="s">
        <v>406</v>
      </c>
      <c r="B278" s="26">
        <v>2.5</v>
      </c>
    </row>
    <row r="279">
      <c r="A279" s="16" t="s">
        <v>407</v>
      </c>
      <c r="B279" s="26">
        <v>2.5</v>
      </c>
    </row>
    <row r="280">
      <c r="A280" s="16" t="s">
        <v>137</v>
      </c>
      <c r="B280" s="26">
        <v>4.0</v>
      </c>
    </row>
    <row r="281">
      <c r="A281" s="16" t="s">
        <v>408</v>
      </c>
      <c r="B281" s="26">
        <v>2.5</v>
      </c>
    </row>
    <row r="282">
      <c r="A282" s="16" t="s">
        <v>138</v>
      </c>
      <c r="B282" s="26">
        <v>4.0</v>
      </c>
    </row>
    <row r="283">
      <c r="A283" s="16" t="s">
        <v>139</v>
      </c>
      <c r="B283" s="26">
        <v>2.5</v>
      </c>
    </row>
    <row r="284">
      <c r="A284" s="16" t="s">
        <v>409</v>
      </c>
      <c r="B284" s="26">
        <v>2.5</v>
      </c>
    </row>
    <row r="285">
      <c r="A285" s="16" t="s">
        <v>410</v>
      </c>
      <c r="B285" s="26">
        <v>2.5</v>
      </c>
    </row>
    <row r="286">
      <c r="A286" s="16" t="s">
        <v>411</v>
      </c>
      <c r="B286" s="26">
        <v>2.5</v>
      </c>
    </row>
    <row r="287">
      <c r="A287" s="16" t="s">
        <v>412</v>
      </c>
      <c r="B287" s="26">
        <v>2.5</v>
      </c>
    </row>
    <row r="288">
      <c r="A288" s="16" t="s">
        <v>413</v>
      </c>
      <c r="B288" s="26">
        <v>2.5</v>
      </c>
    </row>
    <row r="289">
      <c r="A289" s="16" t="s">
        <v>140</v>
      </c>
      <c r="B289" s="26">
        <v>2.5</v>
      </c>
    </row>
    <row r="290">
      <c r="A290" s="16" t="s">
        <v>141</v>
      </c>
      <c r="B290" s="26">
        <v>4.0</v>
      </c>
    </row>
    <row r="291">
      <c r="A291" s="16" t="s">
        <v>142</v>
      </c>
      <c r="B291" s="26">
        <v>4.0</v>
      </c>
    </row>
    <row r="292">
      <c r="A292" s="16" t="s">
        <v>414</v>
      </c>
      <c r="B292" s="26">
        <v>2.5</v>
      </c>
    </row>
    <row r="293">
      <c r="A293" s="16" t="s">
        <v>415</v>
      </c>
      <c r="B293" s="26">
        <v>2.5</v>
      </c>
    </row>
    <row r="294">
      <c r="A294" s="16" t="s">
        <v>143</v>
      </c>
      <c r="B294" s="26">
        <v>4.0</v>
      </c>
    </row>
    <row r="295">
      <c r="A295" s="16" t="s">
        <v>416</v>
      </c>
      <c r="B295" s="26">
        <v>2.5</v>
      </c>
    </row>
    <row r="296">
      <c r="A296" s="16" t="s">
        <v>144</v>
      </c>
      <c r="B296" s="26">
        <v>2.5</v>
      </c>
    </row>
    <row r="297">
      <c r="A297" s="16" t="s">
        <v>145</v>
      </c>
      <c r="B297" s="26">
        <v>2.5</v>
      </c>
    </row>
    <row r="298">
      <c r="A298" s="16" t="s">
        <v>417</v>
      </c>
      <c r="B298" s="26">
        <v>2.5</v>
      </c>
    </row>
    <row r="299">
      <c r="A299" s="16" t="s">
        <v>418</v>
      </c>
      <c r="B299" s="26">
        <v>2.2</v>
      </c>
    </row>
    <row r="300">
      <c r="A300" s="16" t="s">
        <v>419</v>
      </c>
      <c r="B300" s="26">
        <v>2.5</v>
      </c>
    </row>
    <row r="301">
      <c r="A301" s="16" t="s">
        <v>146</v>
      </c>
      <c r="B301" s="26">
        <v>2.5</v>
      </c>
    </row>
    <row r="302">
      <c r="A302" s="16" t="s">
        <v>420</v>
      </c>
      <c r="B302" s="26">
        <v>2.0</v>
      </c>
    </row>
    <row r="303">
      <c r="A303" s="16" t="s">
        <v>421</v>
      </c>
      <c r="B303" s="26">
        <v>2.5</v>
      </c>
    </row>
    <row r="304">
      <c r="A304" s="16" t="s">
        <v>148</v>
      </c>
      <c r="B304" s="26">
        <v>3.3</v>
      </c>
    </row>
    <row r="305">
      <c r="A305" s="16" t="s">
        <v>422</v>
      </c>
      <c r="B305" s="26">
        <v>2.5</v>
      </c>
    </row>
    <row r="306">
      <c r="A306" s="16" t="s">
        <v>423</v>
      </c>
      <c r="B306" s="26">
        <v>2.5</v>
      </c>
    </row>
    <row r="307">
      <c r="A307" s="16" t="s">
        <v>149</v>
      </c>
      <c r="B307" s="26">
        <v>2.5</v>
      </c>
    </row>
    <row r="308">
      <c r="A308" s="16" t="s">
        <v>424</v>
      </c>
      <c r="B308" s="26">
        <v>2.5</v>
      </c>
    </row>
    <row r="309">
      <c r="A309" s="16" t="s">
        <v>150</v>
      </c>
      <c r="B309" s="26">
        <v>2.5</v>
      </c>
    </row>
    <row r="310">
      <c r="A310" s="16" t="s">
        <v>425</v>
      </c>
      <c r="B310" s="26">
        <v>2.5</v>
      </c>
    </row>
    <row r="311">
      <c r="A311" s="16" t="s">
        <v>151</v>
      </c>
      <c r="B311" s="26">
        <v>2.5</v>
      </c>
    </row>
    <row r="312">
      <c r="A312" s="16" t="s">
        <v>426</v>
      </c>
      <c r="B312" s="26">
        <v>2.5</v>
      </c>
    </row>
    <row r="313">
      <c r="A313" s="16" t="s">
        <v>427</v>
      </c>
      <c r="B313" s="26">
        <v>2.5</v>
      </c>
    </row>
    <row r="314">
      <c r="A314" s="16" t="s">
        <v>152</v>
      </c>
      <c r="B314" s="26">
        <v>2.5</v>
      </c>
    </row>
    <row r="315">
      <c r="A315" s="16" t="s">
        <v>428</v>
      </c>
      <c r="B315" s="26">
        <v>2.5</v>
      </c>
    </row>
    <row r="316">
      <c r="A316" s="16" t="s">
        <v>153</v>
      </c>
      <c r="B316" s="26">
        <v>2.5</v>
      </c>
    </row>
    <row r="317">
      <c r="A317" s="16" t="s">
        <v>429</v>
      </c>
      <c r="B317" s="26">
        <v>2.5</v>
      </c>
    </row>
    <row r="318">
      <c r="A318" s="16" t="s">
        <v>154</v>
      </c>
      <c r="B318" s="26">
        <v>4.0</v>
      </c>
    </row>
    <row r="319">
      <c r="A319" s="16" t="s">
        <v>430</v>
      </c>
      <c r="B319" s="26">
        <v>2.2</v>
      </c>
    </row>
    <row r="320">
      <c r="A320" s="16" t="s">
        <v>431</v>
      </c>
      <c r="B320" s="26">
        <v>2.5</v>
      </c>
    </row>
    <row r="321">
      <c r="A321" s="16" t="s">
        <v>432</v>
      </c>
      <c r="B321" s="26">
        <v>2.5</v>
      </c>
    </row>
    <row r="322">
      <c r="A322" s="16" t="s">
        <v>433</v>
      </c>
      <c r="B322" s="26">
        <v>3.1</v>
      </c>
    </row>
    <row r="323">
      <c r="A323" s="16" t="s">
        <v>434</v>
      </c>
      <c r="B323" s="26">
        <v>1.8</v>
      </c>
    </row>
    <row r="324">
      <c r="A324" s="16" t="s">
        <v>155</v>
      </c>
      <c r="B324" s="26">
        <v>2.5</v>
      </c>
    </row>
    <row r="325">
      <c r="A325" s="16" t="s">
        <v>435</v>
      </c>
      <c r="B325" s="26">
        <v>2.5</v>
      </c>
    </row>
    <row r="326">
      <c r="A326" s="16" t="s">
        <v>436</v>
      </c>
      <c r="B326" s="26">
        <v>2.5</v>
      </c>
    </row>
    <row r="327">
      <c r="A327" s="16" t="s">
        <v>156</v>
      </c>
      <c r="B327" s="26">
        <v>3.3</v>
      </c>
    </row>
    <row r="328">
      <c r="A328" s="16" t="s">
        <v>157</v>
      </c>
      <c r="B328" s="26">
        <v>4.0</v>
      </c>
    </row>
    <row r="329">
      <c r="A329" s="16" t="s">
        <v>437</v>
      </c>
      <c r="B329" s="26">
        <v>2.5</v>
      </c>
    </row>
    <row r="330">
      <c r="A330" s="16" t="s">
        <v>439</v>
      </c>
      <c r="B330" s="26">
        <v>3.1</v>
      </c>
    </row>
    <row r="331">
      <c r="A331" s="16" t="s">
        <v>158</v>
      </c>
      <c r="B331" s="26">
        <v>2.5</v>
      </c>
    </row>
    <row r="332">
      <c r="A332" s="16" t="s">
        <v>440</v>
      </c>
      <c r="B332" s="26">
        <v>2.5</v>
      </c>
    </row>
    <row r="333">
      <c r="A333" s="16" t="s">
        <v>159</v>
      </c>
      <c r="B333" s="26">
        <v>4.0</v>
      </c>
    </row>
    <row r="334">
      <c r="A334" s="16" t="s">
        <v>441</v>
      </c>
      <c r="B334" s="26">
        <v>2.5</v>
      </c>
    </row>
    <row r="335">
      <c r="A335" s="16" t="s">
        <v>442</v>
      </c>
      <c r="B335" s="26">
        <v>2.5</v>
      </c>
    </row>
    <row r="336">
      <c r="A336" s="16" t="s">
        <v>443</v>
      </c>
      <c r="B336" s="26">
        <v>2.5</v>
      </c>
    </row>
    <row r="337">
      <c r="A337" s="16" t="s">
        <v>160</v>
      </c>
      <c r="B337" s="26">
        <v>3.3</v>
      </c>
    </row>
    <row r="338">
      <c r="A338" s="16" t="s">
        <v>444</v>
      </c>
      <c r="B338" s="26">
        <v>2.5</v>
      </c>
    </row>
    <row r="339">
      <c r="A339" s="16" t="s">
        <v>445</v>
      </c>
      <c r="B339" s="26">
        <v>1.8</v>
      </c>
    </row>
    <row r="340">
      <c r="A340" s="16" t="s">
        <v>161</v>
      </c>
      <c r="B340" s="26">
        <v>3.1</v>
      </c>
    </row>
    <row r="341">
      <c r="A341" s="16" t="s">
        <v>446</v>
      </c>
      <c r="B341" s="26">
        <v>2.5</v>
      </c>
    </row>
    <row r="342">
      <c r="A342" s="16" t="s">
        <v>162</v>
      </c>
      <c r="B342" s="26">
        <v>4.0</v>
      </c>
    </row>
    <row r="343">
      <c r="A343" s="16" t="s">
        <v>163</v>
      </c>
      <c r="B343" s="26">
        <v>4.0</v>
      </c>
    </row>
    <row r="344">
      <c r="A344" s="16" t="s">
        <v>447</v>
      </c>
      <c r="B344" s="26">
        <v>2.5</v>
      </c>
    </row>
    <row r="345">
      <c r="A345" s="16" t="s">
        <v>448</v>
      </c>
      <c r="B345" s="26">
        <v>2.5</v>
      </c>
    </row>
    <row r="346">
      <c r="A346" s="16" t="s">
        <v>449</v>
      </c>
      <c r="B346" s="26">
        <v>3.1</v>
      </c>
    </row>
    <row r="347">
      <c r="A347" s="16" t="s">
        <v>450</v>
      </c>
      <c r="B347" s="26">
        <v>2.5</v>
      </c>
    </row>
    <row r="348">
      <c r="A348" s="16" t="s">
        <v>451</v>
      </c>
      <c r="B348" s="26">
        <v>2.5</v>
      </c>
    </row>
    <row r="349">
      <c r="A349" s="16" t="s">
        <v>452</v>
      </c>
      <c r="B349" s="26">
        <v>2.5</v>
      </c>
    </row>
    <row r="350">
      <c r="A350" s="16" t="s">
        <v>164</v>
      </c>
      <c r="B350" s="26">
        <v>4.0</v>
      </c>
    </row>
    <row r="351">
      <c r="A351" s="16" t="s">
        <v>453</v>
      </c>
      <c r="B351" s="26">
        <v>2.5</v>
      </c>
    </row>
    <row r="352">
      <c r="A352" s="16" t="s">
        <v>165</v>
      </c>
      <c r="B352" s="26">
        <v>4.0</v>
      </c>
    </row>
    <row r="353">
      <c r="A353" s="16" t="s">
        <v>454</v>
      </c>
      <c r="B353" s="26">
        <v>2.0</v>
      </c>
    </row>
    <row r="354">
      <c r="A354" s="16" t="s">
        <v>455</v>
      </c>
      <c r="B354" s="26">
        <v>2.5</v>
      </c>
    </row>
    <row r="355">
      <c r="A355" s="16" t="s">
        <v>166</v>
      </c>
      <c r="B355" s="26">
        <v>4.0</v>
      </c>
    </row>
    <row r="356">
      <c r="A356" s="16" t="s">
        <v>456</v>
      </c>
      <c r="B356" s="26">
        <v>2.5</v>
      </c>
    </row>
    <row r="357">
      <c r="A357" s="16" t="s">
        <v>457</v>
      </c>
      <c r="B357" s="26">
        <v>2.5</v>
      </c>
    </row>
    <row r="358">
      <c r="A358" s="16" t="s">
        <v>458</v>
      </c>
      <c r="B358" s="26">
        <v>2.5</v>
      </c>
    </row>
    <row r="359">
      <c r="A359" s="16" t="s">
        <v>459</v>
      </c>
      <c r="B359" s="26">
        <v>2.5</v>
      </c>
    </row>
    <row r="360">
      <c r="A360" s="16" t="s">
        <v>167</v>
      </c>
      <c r="B360" s="26">
        <v>2.5</v>
      </c>
    </row>
    <row r="361">
      <c r="A361" s="16" t="s">
        <v>460</v>
      </c>
      <c r="B361" s="26">
        <v>2.5</v>
      </c>
    </row>
    <row r="362">
      <c r="A362" s="16" t="s">
        <v>461</v>
      </c>
      <c r="B362" s="26">
        <v>2.5</v>
      </c>
    </row>
    <row r="363">
      <c r="A363" s="16" t="s">
        <v>462</v>
      </c>
      <c r="B363" s="26">
        <v>2.2</v>
      </c>
    </row>
    <row r="364">
      <c r="A364" s="16" t="s">
        <v>463</v>
      </c>
      <c r="B364" s="26">
        <v>2.5</v>
      </c>
    </row>
    <row r="365">
      <c r="A365" s="16" t="s">
        <v>464</v>
      </c>
      <c r="B365" s="26">
        <v>2.5</v>
      </c>
    </row>
    <row r="366">
      <c r="A366" s="16" t="s">
        <v>168</v>
      </c>
      <c r="B366" s="26">
        <v>2.5</v>
      </c>
    </row>
    <row r="367">
      <c r="A367" s="16" t="s">
        <v>465</v>
      </c>
      <c r="B367" s="26">
        <v>2.5</v>
      </c>
    </row>
    <row r="368">
      <c r="A368" s="16" t="s">
        <v>169</v>
      </c>
      <c r="B368" s="26">
        <v>2.2</v>
      </c>
    </row>
    <row r="369">
      <c r="A369" s="16" t="s">
        <v>466</v>
      </c>
      <c r="B369" s="26">
        <v>2.5</v>
      </c>
    </row>
    <row r="370">
      <c r="A370" s="16" t="s">
        <v>170</v>
      </c>
      <c r="B370" s="26">
        <v>2.5</v>
      </c>
    </row>
    <row r="371">
      <c r="A371" s="16" t="s">
        <v>467</v>
      </c>
      <c r="B371" s="26">
        <v>2.5</v>
      </c>
    </row>
    <row r="372">
      <c r="A372" s="16" t="s">
        <v>468</v>
      </c>
      <c r="B372" s="26">
        <v>2.5</v>
      </c>
    </row>
    <row r="373">
      <c r="A373" s="16" t="s">
        <v>171</v>
      </c>
      <c r="B373" s="26">
        <v>4.0</v>
      </c>
    </row>
    <row r="374">
      <c r="A374" s="16" t="s">
        <v>469</v>
      </c>
      <c r="B374" s="26">
        <v>2.5</v>
      </c>
    </row>
    <row r="375">
      <c r="A375" s="16" t="s">
        <v>470</v>
      </c>
      <c r="B375" s="26">
        <v>2.5</v>
      </c>
    </row>
    <row r="376">
      <c r="A376" s="16" t="s">
        <v>471</v>
      </c>
      <c r="B376" s="26">
        <v>2.5</v>
      </c>
    </row>
    <row r="377">
      <c r="A377" s="16" t="s">
        <v>472</v>
      </c>
      <c r="B377" s="26">
        <v>2.5</v>
      </c>
    </row>
    <row r="378">
      <c r="A378" s="16" t="s">
        <v>473</v>
      </c>
      <c r="B378" s="26">
        <v>2.2</v>
      </c>
    </row>
    <row r="379">
      <c r="A379" s="16" t="s">
        <v>474</v>
      </c>
      <c r="B379" s="26">
        <v>2.5</v>
      </c>
    </row>
    <row r="380">
      <c r="A380" s="16" t="s">
        <v>475</v>
      </c>
      <c r="B380" s="26">
        <v>2.5</v>
      </c>
    </row>
    <row r="381">
      <c r="A381" s="16" t="s">
        <v>172</v>
      </c>
      <c r="B381" s="26">
        <v>2.5</v>
      </c>
    </row>
    <row r="382">
      <c r="A382" s="16" t="s">
        <v>476</v>
      </c>
      <c r="B382" s="26">
        <v>2.5</v>
      </c>
    </row>
    <row r="383">
      <c r="A383" s="16" t="s">
        <v>477</v>
      </c>
      <c r="B383" s="26">
        <v>2.9</v>
      </c>
    </row>
    <row r="384">
      <c r="A384" s="16" t="s">
        <v>173</v>
      </c>
      <c r="B384" s="26">
        <v>3.3</v>
      </c>
    </row>
    <row r="385">
      <c r="A385" s="16" t="s">
        <v>478</v>
      </c>
      <c r="B385" s="26">
        <v>2.5</v>
      </c>
    </row>
    <row r="386">
      <c r="A386" s="16" t="s">
        <v>479</v>
      </c>
      <c r="B386" s="26">
        <v>2.5</v>
      </c>
    </row>
    <row r="387">
      <c r="A387" s="16" t="s">
        <v>480</v>
      </c>
      <c r="B387" s="26">
        <v>2.2</v>
      </c>
    </row>
    <row r="388">
      <c r="A388" s="16" t="s">
        <v>481</v>
      </c>
      <c r="B388" s="26">
        <v>2.5</v>
      </c>
    </row>
    <row r="389">
      <c r="A389" s="16" t="s">
        <v>482</v>
      </c>
      <c r="B389" s="26">
        <v>2.0</v>
      </c>
    </row>
    <row r="390">
      <c r="A390" s="16" t="s">
        <v>483</v>
      </c>
      <c r="B390" s="26">
        <v>2.5</v>
      </c>
    </row>
    <row r="391">
      <c r="A391" s="16" t="s">
        <v>484</v>
      </c>
      <c r="B391" s="26">
        <v>2.5</v>
      </c>
    </row>
    <row r="392">
      <c r="A392" s="16" t="s">
        <v>485</v>
      </c>
      <c r="B392" s="26">
        <v>2.5</v>
      </c>
    </row>
    <row r="393">
      <c r="A393" s="16" t="s">
        <v>174</v>
      </c>
      <c r="B393" s="26">
        <v>4.0</v>
      </c>
    </row>
    <row r="394">
      <c r="A394" s="16" t="s">
        <v>486</v>
      </c>
      <c r="B394" s="26">
        <v>2.5</v>
      </c>
    </row>
    <row r="395">
      <c r="A395" s="16" t="s">
        <v>175</v>
      </c>
      <c r="B395" s="26">
        <v>4.0</v>
      </c>
    </row>
    <row r="396">
      <c r="A396" s="16" t="s">
        <v>487</v>
      </c>
      <c r="B396" s="26">
        <v>2.5</v>
      </c>
    </row>
    <row r="397">
      <c r="A397" s="16" t="s">
        <v>488</v>
      </c>
      <c r="B397" s="26">
        <v>2.5</v>
      </c>
    </row>
    <row r="398">
      <c r="A398" s="16" t="s">
        <v>489</v>
      </c>
      <c r="B398" s="26">
        <v>2.5</v>
      </c>
    </row>
    <row r="399">
      <c r="A399" s="16" t="s">
        <v>490</v>
      </c>
      <c r="B399" s="26">
        <v>2.5</v>
      </c>
    </row>
    <row r="400">
      <c r="A400" s="16" t="s">
        <v>491</v>
      </c>
      <c r="B400" s="26">
        <v>2.5</v>
      </c>
    </row>
    <row r="401">
      <c r="A401" s="16" t="s">
        <v>492</v>
      </c>
      <c r="B401" s="26">
        <v>2.5</v>
      </c>
    </row>
    <row r="402">
      <c r="A402" s="16" t="s">
        <v>493</v>
      </c>
      <c r="B402" s="26">
        <v>2.5</v>
      </c>
    </row>
    <row r="403">
      <c r="A403" s="16" t="s">
        <v>494</v>
      </c>
      <c r="B403" s="26">
        <v>2.5</v>
      </c>
    </row>
    <row r="404">
      <c r="A404" s="16" t="s">
        <v>176</v>
      </c>
      <c r="B404" s="26">
        <v>2.5</v>
      </c>
    </row>
    <row r="405">
      <c r="A405" s="16" t="s">
        <v>177</v>
      </c>
      <c r="B405" s="26">
        <v>3.3</v>
      </c>
    </row>
    <row r="406">
      <c r="A406" s="16" t="s">
        <v>178</v>
      </c>
      <c r="B406" s="26">
        <v>2.5</v>
      </c>
    </row>
    <row r="407">
      <c r="A407" s="16" t="s">
        <v>495</v>
      </c>
      <c r="B407" s="26">
        <v>2.5</v>
      </c>
    </row>
    <row r="408">
      <c r="A408" s="16" t="s">
        <v>496</v>
      </c>
      <c r="B408" s="26">
        <v>1.8</v>
      </c>
    </row>
    <row r="409">
      <c r="A409" s="16" t="s">
        <v>497</v>
      </c>
      <c r="B409" s="26">
        <v>2.5</v>
      </c>
    </row>
    <row r="410">
      <c r="A410" s="16" t="s">
        <v>498</v>
      </c>
      <c r="B410" s="26">
        <v>2.5</v>
      </c>
    </row>
    <row r="411">
      <c r="A411" s="16" t="s">
        <v>499</v>
      </c>
      <c r="B411" s="26">
        <v>2.5</v>
      </c>
    </row>
    <row r="412">
      <c r="A412" s="16" t="s">
        <v>500</v>
      </c>
      <c r="B412" s="26">
        <v>2.5</v>
      </c>
    </row>
    <row r="413">
      <c r="A413" s="16" t="s">
        <v>179</v>
      </c>
      <c r="B413" s="26">
        <v>4.0</v>
      </c>
    </row>
    <row r="414">
      <c r="A414" s="16" t="s">
        <v>501</v>
      </c>
      <c r="B414" s="26">
        <v>2.5</v>
      </c>
    </row>
    <row r="415">
      <c r="A415" s="16" t="s">
        <v>180</v>
      </c>
      <c r="B415" s="26">
        <v>2.5</v>
      </c>
    </row>
    <row r="416">
      <c r="A416" s="16" t="s">
        <v>502</v>
      </c>
      <c r="B416" s="26">
        <v>2.5</v>
      </c>
    </row>
    <row r="417">
      <c r="A417" s="16" t="s">
        <v>503</v>
      </c>
      <c r="B417" s="26">
        <v>2.5</v>
      </c>
    </row>
    <row r="418">
      <c r="A418" s="16" t="s">
        <v>504</v>
      </c>
      <c r="B418" s="26">
        <v>2.5</v>
      </c>
    </row>
    <row r="419">
      <c r="A419" s="16" t="s">
        <v>505</v>
      </c>
      <c r="B419" s="26">
        <v>2.5</v>
      </c>
    </row>
    <row r="420">
      <c r="A420" s="16" t="s">
        <v>506</v>
      </c>
      <c r="B420" s="26">
        <v>2.5</v>
      </c>
    </row>
    <row r="421">
      <c r="A421" s="16" t="s">
        <v>507</v>
      </c>
      <c r="B421" s="26">
        <v>2.5</v>
      </c>
    </row>
    <row r="422">
      <c r="A422" s="16" t="s">
        <v>508</v>
      </c>
      <c r="B422" s="26">
        <v>2.5</v>
      </c>
    </row>
    <row r="423">
      <c r="A423" s="16" t="s">
        <v>509</v>
      </c>
      <c r="B423" s="26">
        <v>2.5</v>
      </c>
    </row>
    <row r="424">
      <c r="A424" s="16" t="s">
        <v>181</v>
      </c>
      <c r="B424" s="26">
        <v>2.5</v>
      </c>
    </row>
    <row r="425">
      <c r="A425" s="16" t="s">
        <v>510</v>
      </c>
      <c r="B425" s="26">
        <v>2.5</v>
      </c>
    </row>
    <row r="426">
      <c r="A426" s="16" t="s">
        <v>182</v>
      </c>
      <c r="B426" s="26">
        <v>2.5</v>
      </c>
    </row>
    <row r="427">
      <c r="A427" s="16" t="s">
        <v>183</v>
      </c>
      <c r="B427" s="26">
        <v>2.5</v>
      </c>
    </row>
    <row r="428">
      <c r="A428" s="16" t="s">
        <v>511</v>
      </c>
      <c r="B428" s="26">
        <v>2.5</v>
      </c>
    </row>
    <row r="429">
      <c r="A429" s="16" t="s">
        <v>184</v>
      </c>
      <c r="B429" s="26">
        <v>2.2</v>
      </c>
    </row>
    <row r="430">
      <c r="A430" s="16" t="s">
        <v>185</v>
      </c>
      <c r="B430" s="26">
        <v>2.2</v>
      </c>
    </row>
    <row r="431">
      <c r="A431" s="16" t="s">
        <v>186</v>
      </c>
      <c r="B431" s="26">
        <v>2.5</v>
      </c>
    </row>
    <row r="432">
      <c r="A432" s="16" t="s">
        <v>187</v>
      </c>
      <c r="B432" s="26">
        <v>3.3</v>
      </c>
    </row>
    <row r="433">
      <c r="A433" s="16" t="s">
        <v>512</v>
      </c>
      <c r="B433" s="26">
        <v>2.5</v>
      </c>
    </row>
    <row r="434">
      <c r="A434" s="16" t="s">
        <v>188</v>
      </c>
      <c r="B434" s="26">
        <v>4.0</v>
      </c>
    </row>
    <row r="435">
      <c r="A435" s="16" t="s">
        <v>513</v>
      </c>
      <c r="B435" s="26">
        <v>2.5</v>
      </c>
    </row>
    <row r="436">
      <c r="A436" s="16" t="s">
        <v>189</v>
      </c>
      <c r="B436" s="26">
        <v>4.0</v>
      </c>
    </row>
    <row r="437">
      <c r="A437" s="16" t="s">
        <v>514</v>
      </c>
      <c r="B437" s="26">
        <v>2.5</v>
      </c>
    </row>
    <row r="438">
      <c r="A438" s="16" t="s">
        <v>515</v>
      </c>
      <c r="B438" s="26">
        <v>2.5</v>
      </c>
    </row>
    <row r="439">
      <c r="A439" s="16" t="s">
        <v>516</v>
      </c>
      <c r="B439" s="26">
        <v>2.5</v>
      </c>
    </row>
    <row r="440">
      <c r="A440" s="16" t="s">
        <v>517</v>
      </c>
      <c r="B440" s="26">
        <v>2.5</v>
      </c>
    </row>
    <row r="441">
      <c r="A441" s="16" t="s">
        <v>518</v>
      </c>
      <c r="B441" s="26">
        <v>2.5</v>
      </c>
    </row>
    <row r="442">
      <c r="A442" s="16" t="s">
        <v>190</v>
      </c>
      <c r="B442" s="26">
        <v>4.0</v>
      </c>
    </row>
    <row r="443">
      <c r="A443" s="16" t="s">
        <v>519</v>
      </c>
      <c r="B443" s="26">
        <v>2.5</v>
      </c>
    </row>
    <row r="444">
      <c r="A444" s="16" t="s">
        <v>191</v>
      </c>
      <c r="B444" s="26">
        <v>2.5</v>
      </c>
    </row>
    <row r="445">
      <c r="A445" s="16" t="s">
        <v>192</v>
      </c>
      <c r="B445" s="26">
        <v>2.5</v>
      </c>
    </row>
    <row r="446">
      <c r="A446" s="16" t="s">
        <v>520</v>
      </c>
      <c r="B446" s="26">
        <v>2.5</v>
      </c>
    </row>
    <row r="447">
      <c r="A447" s="16" t="s">
        <v>521</v>
      </c>
      <c r="B447" s="26">
        <v>2.5</v>
      </c>
    </row>
    <row r="448">
      <c r="A448" s="16" t="s">
        <v>522</v>
      </c>
      <c r="B448" s="26">
        <v>2.5</v>
      </c>
    </row>
    <row r="449">
      <c r="A449" s="16" t="s">
        <v>523</v>
      </c>
      <c r="B449" s="26">
        <v>2.5</v>
      </c>
    </row>
    <row r="450">
      <c r="A450" s="16" t="s">
        <v>524</v>
      </c>
      <c r="B450" s="26">
        <v>2.5</v>
      </c>
    </row>
    <row r="451">
      <c r="A451" s="16" t="s">
        <v>193</v>
      </c>
      <c r="B451" s="26">
        <v>2.5</v>
      </c>
    </row>
    <row r="452">
      <c r="A452" s="16" t="s">
        <v>525</v>
      </c>
      <c r="B452" s="26">
        <v>2.5</v>
      </c>
    </row>
    <row r="453">
      <c r="A453" s="16" t="s">
        <v>194</v>
      </c>
      <c r="B453" s="26">
        <v>4.0</v>
      </c>
    </row>
    <row r="454">
      <c r="A454" s="16" t="s">
        <v>526</v>
      </c>
      <c r="B454" s="26">
        <v>2.5</v>
      </c>
    </row>
    <row r="455">
      <c r="A455" s="16" t="s">
        <v>527</v>
      </c>
      <c r="B455" s="26">
        <v>2.5</v>
      </c>
    </row>
    <row r="456">
      <c r="A456" s="16" t="s">
        <v>195</v>
      </c>
      <c r="B456" s="26">
        <v>2.5</v>
      </c>
    </row>
    <row r="457">
      <c r="A457" s="16" t="s">
        <v>196</v>
      </c>
      <c r="B457" s="26">
        <v>4.0</v>
      </c>
    </row>
    <row r="458">
      <c r="A458" s="16" t="s">
        <v>197</v>
      </c>
      <c r="B458" s="26">
        <v>2.5</v>
      </c>
    </row>
    <row r="459">
      <c r="A459" s="16" t="s">
        <v>528</v>
      </c>
      <c r="B459" s="26">
        <v>2.5</v>
      </c>
    </row>
    <row r="460">
      <c r="A460" s="16" t="s">
        <v>198</v>
      </c>
      <c r="B460" s="26">
        <v>4.0</v>
      </c>
    </row>
    <row r="461">
      <c r="A461" s="16" t="s">
        <v>529</v>
      </c>
      <c r="B461" s="26">
        <v>1.8</v>
      </c>
    </row>
    <row r="462">
      <c r="A462" s="16" t="s">
        <v>530</v>
      </c>
      <c r="B462" s="26">
        <v>2.5</v>
      </c>
    </row>
    <row r="463">
      <c r="A463" s="16" t="s">
        <v>531</v>
      </c>
      <c r="B463" s="26">
        <v>2.5</v>
      </c>
    </row>
    <row r="464">
      <c r="A464" s="16" t="s">
        <v>199</v>
      </c>
      <c r="B464" s="26">
        <v>4.0</v>
      </c>
    </row>
    <row r="465">
      <c r="A465" s="16" t="s">
        <v>532</v>
      </c>
      <c r="B465" s="26">
        <v>2.5</v>
      </c>
    </row>
    <row r="466">
      <c r="A466" s="16" t="s">
        <v>533</v>
      </c>
      <c r="B466" s="26">
        <v>2.5</v>
      </c>
    </row>
    <row r="467">
      <c r="A467" s="16" t="s">
        <v>534</v>
      </c>
      <c r="B467" s="26">
        <v>2.5</v>
      </c>
    </row>
    <row r="468">
      <c r="A468" s="16" t="s">
        <v>535</v>
      </c>
      <c r="B468" s="26">
        <v>2.5</v>
      </c>
    </row>
    <row r="469">
      <c r="A469" s="16" t="s">
        <v>536</v>
      </c>
      <c r="B469" s="26">
        <v>2.5</v>
      </c>
    </row>
    <row r="470">
      <c r="A470" s="16" t="s">
        <v>200</v>
      </c>
      <c r="B470" s="26">
        <v>2.5</v>
      </c>
    </row>
    <row r="471">
      <c r="A471" s="16" t="s">
        <v>537</v>
      </c>
      <c r="B471" s="26">
        <v>2.5</v>
      </c>
    </row>
    <row r="472">
      <c r="A472" s="16" t="s">
        <v>538</v>
      </c>
      <c r="B472" s="26">
        <v>2.5</v>
      </c>
    </row>
    <row r="473">
      <c r="A473" s="16" t="s">
        <v>539</v>
      </c>
      <c r="B473" s="26">
        <v>2.5</v>
      </c>
    </row>
    <row r="474">
      <c r="A474" s="16" t="s">
        <v>540</v>
      </c>
      <c r="B474" s="26">
        <v>2.2</v>
      </c>
    </row>
    <row r="475">
      <c r="A475" s="16" t="s">
        <v>541</v>
      </c>
      <c r="B475" s="26">
        <v>2.5</v>
      </c>
    </row>
    <row r="476">
      <c r="A476" s="16" t="s">
        <v>542</v>
      </c>
      <c r="B476" s="26">
        <v>2.5</v>
      </c>
    </row>
    <row r="477">
      <c r="A477" s="16" t="s">
        <v>543</v>
      </c>
      <c r="B477" s="26">
        <v>2.5</v>
      </c>
    </row>
    <row r="478">
      <c r="A478" s="16" t="s">
        <v>544</v>
      </c>
      <c r="B478" s="26">
        <v>2.5</v>
      </c>
    </row>
    <row r="479">
      <c r="A479" s="16" t="s">
        <v>201</v>
      </c>
      <c r="B479" s="26">
        <v>4.0</v>
      </c>
    </row>
    <row r="480">
      <c r="A480" s="16" t="s">
        <v>545</v>
      </c>
      <c r="B480" s="26">
        <v>2.5</v>
      </c>
    </row>
    <row r="481">
      <c r="A481" s="16" t="s">
        <v>202</v>
      </c>
      <c r="B481" s="26">
        <v>1.5</v>
      </c>
    </row>
    <row r="482">
      <c r="A482" s="16" t="s">
        <v>203</v>
      </c>
      <c r="B482" s="26">
        <v>3.1</v>
      </c>
    </row>
    <row r="483">
      <c r="A483" s="16" t="s">
        <v>546</v>
      </c>
      <c r="B483" s="26">
        <v>2.5</v>
      </c>
    </row>
    <row r="484">
      <c r="A484" s="16" t="s">
        <v>547</v>
      </c>
      <c r="B484" s="26">
        <v>2.5</v>
      </c>
    </row>
    <row r="485">
      <c r="A485" s="16"/>
      <c r="B485" s="16"/>
    </row>
    <row r="486">
      <c r="A486" s="16"/>
      <c r="B486" s="16"/>
    </row>
    <row r="487">
      <c r="A487" s="16"/>
      <c r="B487" s="16"/>
    </row>
    <row r="488">
      <c r="A488" s="16"/>
      <c r="B488" s="16"/>
    </row>
  </sheetData>
  <drawing r:id="rId1"/>
</worksheet>
</file>