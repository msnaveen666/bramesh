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nuUpadhyay\Desktop\Share Market\"/>
    </mc:Choice>
  </mc:AlternateContent>
  <xr:revisionPtr revIDLastSave="0" documentId="13_ncr:1_{C6EC9C37-AB78-4B98-B65C-A3D53BEE56A6}" xr6:coauthVersionLast="41" xr6:coauthVersionMax="41" xr10:uidLastSave="{00000000-0000-0000-0000-000000000000}"/>
  <bookViews>
    <workbookView xWindow="10" yWindow="10" windowWidth="19180" windowHeight="10180" xr2:uid="{00BFCF75-481F-4140-BE97-7EE8741CD388}"/>
  </bookViews>
  <sheets>
    <sheet name="Gann Calculato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1" i="1" l="1"/>
  <c r="F10" i="1"/>
  <c r="H11" i="1"/>
  <c r="H10" i="1"/>
  <c r="J10" i="1"/>
  <c r="K11" i="1"/>
  <c r="K5" i="1"/>
  <c r="J6" i="1"/>
  <c r="H6" i="1"/>
  <c r="H5" i="1"/>
  <c r="E5" i="1"/>
  <c r="F6" i="1"/>
  <c r="G9" i="1"/>
  <c r="H9" i="1"/>
  <c r="I9" i="1"/>
  <c r="I7" i="1"/>
  <c r="H7" i="1"/>
  <c r="G7" i="1"/>
  <c r="K8" i="1"/>
  <c r="J8" i="1"/>
  <c r="I8" i="1"/>
  <c r="E8" i="1"/>
  <c r="F8" i="1"/>
  <c r="G8" i="1"/>
  <c r="H8" i="1"/>
</calcChain>
</file>

<file path=xl/sharedStrings.xml><?xml version="1.0" encoding="utf-8"?>
<sst xmlns="http://schemas.openxmlformats.org/spreadsheetml/2006/main" count="6" uniqueCount="6">
  <si>
    <t xml:space="preserve">Enter Price </t>
  </si>
  <si>
    <t>Online Nifty Gann Calculator</t>
  </si>
  <si>
    <t>Online Bank Nifty Gann Calculator</t>
  </si>
  <si>
    <t>How to use Gann Calculator - Video Tutorials?</t>
  </si>
  <si>
    <t xml:space="preserve">Click to read the articles for free </t>
  </si>
  <si>
    <t>Articles on Gann Calculator on MoneyPati.Com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</si>
</sst>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1" fillId="5" borderId="0" xfId="0" applyFont="1" applyFill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11</xdr:row>
      <xdr:rowOff>26485</xdr:rowOff>
    </xdr:from>
    <xdr:ext cx="8299450" cy="937629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9A6C83B-8D8E-47FA-B4F7-95999C55C62F}"/>
            </a:ext>
          </a:extLst>
        </xdr:cNvPr>
        <xdr:cNvSpPr/>
      </xdr:nvSpPr>
      <xdr:spPr>
        <a:xfrm>
          <a:off x="114300" y="2052135"/>
          <a:ext cx="8299450" cy="937629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5400" b="0" cap="none" spc="0">
              <a:ln w="0"/>
              <a:gradFill>
                <a:gsLst>
                  <a:gs pos="0">
                    <a:schemeClr val="accent5">
                      <a:lumMod val="50000"/>
                    </a:schemeClr>
                  </a:gs>
                  <a:gs pos="50000">
                    <a:schemeClr val="accent5"/>
                  </a:gs>
                  <a:gs pos="100000">
                    <a:schemeClr val="accent5">
                      <a:lumMod val="60000"/>
                      <a:lumOff val="40000"/>
                    </a:schemeClr>
                  </a:gs>
                </a:gsLst>
                <a:lin ang="5400000"/>
              </a:gradFill>
              <a:effectLst>
                <a:reflection blurRad="6350" stA="53000" endA="300" endPos="35500" dir="5400000" sy="-90000" algn="bl" rotWithShape="0"/>
              </a:effectLst>
            </a:rPr>
            <a:t>MoneyPati.Com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oneypati.com/trading-tools/gann-calculator/bank-nifty/" TargetMode="External"/><Relationship Id="rId2" Type="http://schemas.openxmlformats.org/officeDocument/2006/relationships/hyperlink" Target="https://moneypati.com/trading-tools/gann-calculator/nifty/" TargetMode="External"/><Relationship Id="rId1" Type="http://schemas.openxmlformats.org/officeDocument/2006/relationships/hyperlink" Target="https://moneypati.com/trading-tools/gann-calculator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C9AFA-DD0C-4921-B23F-587D74893A14}">
  <dimension ref="A2:N12"/>
  <sheetViews>
    <sheetView tabSelected="1" workbookViewId="0">
      <selection activeCell="B5" sqref="B5"/>
    </sheetView>
  </sheetViews>
  <sheetFormatPr defaultRowHeight="14.5" x14ac:dyDescent="0.35"/>
  <cols>
    <col min="1" max="1" width="10.1796875" bestFit="1" customWidth="1"/>
    <col min="3" max="3" width="10.90625" bestFit="1" customWidth="1"/>
    <col min="5" max="11" width="5.81640625" bestFit="1" customWidth="1"/>
    <col min="14" max="14" width="40.6328125" bestFit="1" customWidth="1"/>
  </cols>
  <sheetData>
    <row r="2" spans="1:14" x14ac:dyDescent="0.35">
      <c r="A2" s="4" t="s">
        <v>0</v>
      </c>
      <c r="B2">
        <v>331</v>
      </c>
      <c r="N2" s="4" t="s">
        <v>5</v>
      </c>
    </row>
    <row r="4" spans="1:14" x14ac:dyDescent="0.35">
      <c r="E4">
        <v>1</v>
      </c>
      <c r="F4">
        <v>2</v>
      </c>
      <c r="G4">
        <v>3</v>
      </c>
      <c r="H4">
        <v>4</v>
      </c>
      <c r="I4">
        <v>5</v>
      </c>
      <c r="J4">
        <v>6</v>
      </c>
      <c r="K4">
        <v>7</v>
      </c>
      <c r="N4" s="5" t="s">
        <v>3</v>
      </c>
    </row>
    <row r="5" spans="1:14" x14ac:dyDescent="0.35">
      <c r="D5">
        <v>1</v>
      </c>
      <c r="E5" s="3">
        <f>INT((INT(SQRT(B2)) -1 + 2.25) * (INT(SQRT(B2)) -1 + 2.25))</f>
        <v>370</v>
      </c>
      <c r="F5" s="1"/>
      <c r="G5" s="1"/>
      <c r="H5" s="2">
        <f>INT((INT(SQRT(B2)) -1 + 2.375) * (INT(SQRT(B2)) -1 + 2.375))</f>
        <v>375</v>
      </c>
      <c r="I5" s="1"/>
      <c r="J5" s="1"/>
      <c r="K5" s="3">
        <f>INT((INT(SQRT(B2)) -1 + 2.5) * (INT(SQRT(B2)) -1 + 2.5))</f>
        <v>380</v>
      </c>
      <c r="L5">
        <v>1</v>
      </c>
    </row>
    <row r="6" spans="1:14" x14ac:dyDescent="0.35">
      <c r="D6">
        <v>2</v>
      </c>
      <c r="E6" s="1"/>
      <c r="F6" s="3">
        <f>INT((INT(SQRT(B2)) -1 + 1.25) * (INT(SQRT(B2)) -1 + 1.25))</f>
        <v>333</v>
      </c>
      <c r="G6" s="1"/>
      <c r="H6" s="2">
        <f>INT((INT(SQRT(B2)) -1 + 1.375) * (INT(SQRT(B2)) -1 + 1.375))</f>
        <v>337</v>
      </c>
      <c r="I6" s="1"/>
      <c r="J6" s="3">
        <f>INT((INT(SQRT(B2)) -1 + 1.5) * (INT(SQRT(B2)) -1 + 1.5))</f>
        <v>342</v>
      </c>
      <c r="K6" s="1"/>
      <c r="L6">
        <v>2</v>
      </c>
      <c r="N6" s="5" t="s">
        <v>1</v>
      </c>
    </row>
    <row r="7" spans="1:14" x14ac:dyDescent="0.35">
      <c r="D7">
        <v>3</v>
      </c>
      <c r="E7" s="1"/>
      <c r="F7" s="1"/>
      <c r="G7" s="3">
        <f>INT((INT(SQRT(B2)) -1 + 0.25) * (INT(SQRT(B2)) -1 + 0.25))</f>
        <v>297</v>
      </c>
      <c r="H7" s="2">
        <f>INT((INT(SQRT(B2)) -1 + 0.375) * (INT(SQRT(B2)) -1 + 0.375))</f>
        <v>301</v>
      </c>
      <c r="I7" s="3">
        <f>INT((INT(SQRT(B2)) -1 + 0.5) * (INT(SQRT(B2)) -1 + 0.5))</f>
        <v>306</v>
      </c>
      <c r="J7" s="1"/>
      <c r="K7" s="1"/>
      <c r="L7">
        <v>3</v>
      </c>
    </row>
    <row r="8" spans="1:14" x14ac:dyDescent="0.35">
      <c r="D8">
        <v>4</v>
      </c>
      <c r="E8" s="2">
        <f>INT((INT(SQRT(B2)) -1 + 1.125) * (INT(SQRT(B2)) -1 + 1.125))</f>
        <v>328</v>
      </c>
      <c r="F8" s="2">
        <f>INT((INT(SQRT(B2)) -1 + 1.125) * (INT(SQRT(B2)) -1 + 1.125))</f>
        <v>328</v>
      </c>
      <c r="G8" s="2">
        <f>INT((INT(SQRT(B2)) -1 + 0.125) * (INT(SQRT(B2)) -1 + 0.125))</f>
        <v>293</v>
      </c>
      <c r="H8" s="1">
        <f>(INT(SQRT(B2)) -1) * (INT(SQRT(B2)) -1)</f>
        <v>289</v>
      </c>
      <c r="I8" s="2">
        <f>INT((INT(SQRT(B2)) -1 + 0.625) * (INT(SQRT(B2)) -1 + 0.625))</f>
        <v>310</v>
      </c>
      <c r="J8" s="2">
        <f>INT((INT(SQRT(B2)) -1 + 0.625) * (INT(SQRT(B2)) -1 + 0.625))</f>
        <v>310</v>
      </c>
      <c r="K8" s="2">
        <f>INT((INT(SQRT(B2)) -1 + 0.625) * (INT(SQRT(B2)) -1 + 0.625))</f>
        <v>310</v>
      </c>
      <c r="L8">
        <v>4</v>
      </c>
      <c r="N8" s="5" t="s">
        <v>2</v>
      </c>
    </row>
    <row r="9" spans="1:14" x14ac:dyDescent="0.35">
      <c r="D9">
        <v>5</v>
      </c>
      <c r="E9" s="1"/>
      <c r="F9" s="1"/>
      <c r="G9" s="3">
        <f>INT((INT(SQRT(B2)) -1 + 1) * (INT(SQRT(B2)) -1 + 1))</f>
        <v>324</v>
      </c>
      <c r="H9" s="2">
        <f>INT((INT(SQRT(B2)) -1 + 0.875) * (INT(SQRT(B2)) -1 + 0.875))</f>
        <v>319</v>
      </c>
      <c r="I9" s="3">
        <f>INT((INT(SQRT(B2)) -1 + 0.75) * (INT(SQRT(B2)) -1 + 0.75))</f>
        <v>315</v>
      </c>
      <c r="J9" s="1"/>
      <c r="K9" s="1"/>
      <c r="L9">
        <v>5</v>
      </c>
    </row>
    <row r="10" spans="1:14" x14ac:dyDescent="0.35">
      <c r="D10">
        <v>6</v>
      </c>
      <c r="E10" s="1"/>
      <c r="F10" s="3">
        <f>INT((INT(SQRT(B2)) -1 + 2) * (INT(SQRT(B2)) -1 + 2))</f>
        <v>361</v>
      </c>
      <c r="G10" s="1"/>
      <c r="H10" s="2">
        <f>INT((INT(SQRT(B2)) -1 + 1.875) * (INT(SQRT(B2)) -1 + 1.875))</f>
        <v>356</v>
      </c>
      <c r="I10" s="1"/>
      <c r="J10" s="3">
        <f>INT((INT(SQRT(B2)) -1 + 1.75) * (INT(SQRT(B2)) -1 + 1.75))</f>
        <v>351</v>
      </c>
      <c r="K10" s="1"/>
      <c r="L10">
        <v>6</v>
      </c>
    </row>
    <row r="11" spans="1:14" x14ac:dyDescent="0.35">
      <c r="D11">
        <v>7</v>
      </c>
      <c r="E11" s="3">
        <f>INT((INT(SQRT(B2)) -1 + 3) * (INT(SQRT(B2)) -1 + 3))</f>
        <v>400</v>
      </c>
      <c r="F11" s="1"/>
      <c r="G11" s="1"/>
      <c r="H11" s="2">
        <f>INT((INT(SQRT(B2)) -1 + 2.875) * (INT(SQRT(B2)) -1 + 2.875))</f>
        <v>395</v>
      </c>
      <c r="I11" s="1"/>
      <c r="J11" s="1"/>
      <c r="K11" s="3">
        <f>INT((INT(SQRT(B2)) -1 + 2.75) * (INT(SQRT(B2)) -1 + 2.75))</f>
        <v>390</v>
      </c>
      <c r="L11">
        <v>7</v>
      </c>
      <c r="N11" s="4" t="s">
        <v>4</v>
      </c>
    </row>
    <row r="12" spans="1:14" x14ac:dyDescent="0.35">
      <c r="E12">
        <v>1</v>
      </c>
      <c r="F12">
        <v>2</v>
      </c>
      <c r="G12">
        <v>3</v>
      </c>
      <c r="H12">
        <v>4</v>
      </c>
      <c r="I12">
        <v>5</v>
      </c>
      <c r="J12">
        <v>6</v>
      </c>
      <c r="K12">
        <v>7</v>
      </c>
    </row>
  </sheetData>
  <hyperlinks>
    <hyperlink ref="N4" r:id="rId1" display="How to use Gann Calculator?" xr:uid="{A4C02111-58F1-4A19-BB15-28A7251235F6}"/>
    <hyperlink ref="N6" r:id="rId2" xr:uid="{60158797-602C-4463-B796-969C08F36798}"/>
    <hyperlink ref="N8" r:id="rId3" xr:uid="{00B4EB7E-B0A3-4899-ABDD-9FFFB00C74BD}"/>
  </hyperlinks>
  <pageMargins left="0.7" right="0.7" top="0.75" bottom="0.75" header="0.3" footer="0.3"/>
  <pageSetup orientation="portrait" r:id="rId4"/>
  <drawing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068D0F5-BCC9-43D9-8472-11C4ECC69C2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Gann Calculator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</dc:creator>
  <cp:lastModifiedBy>VU</cp:lastModifiedBy>
  <dcterms:created xsi:type="dcterms:W3CDTF">2019-11-27T12:32:35Z</dcterms:created>
  <dcterms:modified xsi:type="dcterms:W3CDTF">2019-12-11T11:04:36Z</dcterms:modified>
</cp:coreProperties>
</file>