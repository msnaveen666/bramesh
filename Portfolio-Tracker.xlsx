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filterPrivacy="1"/>
  <xr:revisionPtr revIDLastSave="0" documentId="13_ncr:1_{B280DBD6-9BD5-43F5-85C2-CDA14ACE1D0B}" xr6:coauthVersionLast="41" xr6:coauthVersionMax="43" xr10:uidLastSave="{00000000-0000-0000-0000-000000000000}"/>
  <bookViews>
    <workbookView xWindow="-110" yWindow="-110" windowWidth="19420" windowHeight="11020" activeTab="1" xr2:uid="{B4F68AA2-3688-4D7E-A82B-2770948BD1E8}"/>
  </bookViews>
  <sheets>
    <sheet name="Portfolio" sheetId="1" r:id="rId1"/>
    <sheet name="Asset Allocation" sheetId="3" r:id="rId2"/>
  </sheets>
  <definedNames>
    <definedName name="Categories">TableAssetAllocation[Category]</definedName>
    <definedName name="Title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I5" i="1" l="1"/>
  <c r="F5" i="1"/>
  <c r="E5" i="1"/>
  <c r="J5" i="1" s="1"/>
  <c r="I4" i="1"/>
  <c r="F4" i="1"/>
  <c r="E4" i="1"/>
  <c r="J4" i="1" s="1"/>
  <c r="I3" i="1"/>
  <c r="F3" i="1"/>
  <c r="E3" i="1"/>
  <c r="J3" i="1" s="1"/>
  <c r="I2" i="1"/>
  <c r="G2" i="1" l="1"/>
  <c r="G3" i="1"/>
  <c r="G4" i="1"/>
  <c r="G5" i="1"/>
  <c r="G20" i="3"/>
  <c r="G19" i="3"/>
  <c r="H21" i="3"/>
  <c r="G18" i="3"/>
  <c r="G21" i="3"/>
  <c r="I11" i="1"/>
  <c r="H20" i="3"/>
  <c r="K4" i="1"/>
  <c r="K5" i="1"/>
  <c r="K3" i="1"/>
  <c r="E2" i="1"/>
  <c r="J2" i="1" s="1"/>
  <c r="F2" i="1"/>
  <c r="C21" i="3" l="1"/>
  <c r="E21" i="3" s="1"/>
  <c r="C18" i="3"/>
  <c r="E18" i="3" s="1"/>
  <c r="C19" i="3"/>
  <c r="E19" i="3" s="1"/>
  <c r="C20" i="3"/>
  <c r="E20" i="3" s="1"/>
  <c r="I20" i="3"/>
  <c r="I21" i="3"/>
  <c r="H4" i="1"/>
  <c r="H3" i="1"/>
  <c r="H5" i="1"/>
  <c r="H2" i="1"/>
  <c r="J11" i="1"/>
  <c r="H19" i="3"/>
  <c r="I19" i="3" s="1"/>
  <c r="K2" i="1"/>
  <c r="H18" i="3"/>
  <c r="I18" i="3" s="1"/>
  <c r="D21" i="3" l="1"/>
  <c r="F21" i="3" s="1"/>
  <c r="D20" i="3"/>
  <c r="F20" i="3" s="1"/>
  <c r="D18" i="3"/>
  <c r="F18" i="3" s="1"/>
  <c r="D19" i="3"/>
  <c r="F19" i="3"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3"/>
        </ext>
      </extLst>
    </bk>
    <bk>
      <extLst>
        <ext uri="{3e2802c4-a4d2-4d8b-9148-e3be6c30e623}">
          <xlrd:rvb i="10"/>
        </ext>
      </extLst>
    </bk>
    <bk>
      <extLst>
        <ext uri="{3e2802c4-a4d2-4d8b-9148-e3be6c30e623}">
          <xlrd:rvb i="13"/>
        </ext>
      </extLst>
    </bk>
    <bk>
      <extLst>
        <ext uri="{3e2802c4-a4d2-4d8b-9148-e3be6c30e623}">
          <xlrd:rvb i="16"/>
        </ext>
      </extLst>
    </bk>
  </futureMetadata>
  <valueMetadata count="4">
    <bk>
      <rc t="1" v="0"/>
    </bk>
    <bk>
      <rc t="1" v="1"/>
    </bk>
    <bk>
      <rc t="1" v="2"/>
    </bk>
    <bk>
      <rc t="1" v="3"/>
    </bk>
  </valueMetadata>
</metadata>
</file>

<file path=xl/sharedStrings.xml><?xml version="1.0" encoding="utf-8"?>
<sst xmlns="http://schemas.openxmlformats.org/spreadsheetml/2006/main" count="30" uniqueCount="23">
  <si>
    <t>Company</t>
  </si>
  <si>
    <t>Category</t>
  </si>
  <si>
    <t>Shares</t>
  </si>
  <si>
    <t>Price</t>
  </si>
  <si>
    <t>Change (%)</t>
  </si>
  <si>
    <t>Value</t>
  </si>
  <si>
    <t>Portfolio %</t>
  </si>
  <si>
    <t>Asset Allocation</t>
  </si>
  <si>
    <t>Actual</t>
  </si>
  <si>
    <t>Difference</t>
  </si>
  <si>
    <t>Threshold</t>
  </si>
  <si>
    <t>Total</t>
  </si>
  <si>
    <t>My Target</t>
  </si>
  <si>
    <t>Buy Price</t>
  </si>
  <si>
    <t>Investment</t>
  </si>
  <si>
    <t>Profit (%)</t>
  </si>
  <si>
    <t>Automotive</t>
  </si>
  <si>
    <t>Banking Financials</t>
  </si>
  <si>
    <t>Pharmaceutical</t>
  </si>
  <si>
    <t>Invesment %</t>
  </si>
  <si>
    <t>Invested</t>
  </si>
  <si>
    <t>Profit</t>
  </si>
  <si>
    <t>Paints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</si>
</sst>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5" formatCode="_ [$₹-4009]\ * #,##0.00_ ;_ [$₹-4009]\ * \-#,##0.00_ ;_ [$₹-4009]\ * &quot;-&quot;??_ ;_ @_ "/>
    <numFmt numFmtId="166" formatCode="_(&quot;$&quot;* #,##0.00_);_(&quot;$&quot;* \(#,##0.00\);_(&quot;$&quot;* &quot;-&quot;??_);_(@_)"/>
    <numFmt numFmtId="167" formatCode="_(* #,##0.00_);_(* \(#,##0.00\);_(* &quot;-&quot;??_);_(@_)"/>
    <numFmt numFmtId="168" formatCode="_(* #,##0_);_(* \(#,##0\);_(* &quot;-&quot;??_);_(@_)"/>
    <numFmt numFmtId="169" formatCode="_ [$₹-439]* #,##0.00_ ;_ [$₹-439]* \-#,##0.00_ ;_ [$₹-439]* &quot;-&quot;??_ ;_ @_ "/>
  </numFmts>
  <fonts count="9" x14ac:knownFonts="1">
    <font>
      <sz val="11"/>
      <color theme="1"/>
      <name val="Lucida Sans"/>
      <family val="2"/>
      <scheme val="minor"/>
    </font>
    <font>
      <sz val="11"/>
      <color theme="1"/>
      <name val="Lucida Sans"/>
      <family val="2"/>
      <scheme val="minor"/>
    </font>
    <font>
      <b/>
      <sz val="15"/>
      <color theme="3"/>
      <name val="Lucida Sans"/>
      <family val="2"/>
      <scheme val="minor"/>
    </font>
    <font>
      <sz val="12"/>
      <color theme="1"/>
      <name val="Calibri"/>
      <family val="2"/>
    </font>
    <font>
      <b/>
      <sz val="16"/>
      <color theme="5"/>
      <name val="Calibri"/>
      <family val="2"/>
    </font>
    <font>
      <b/>
      <sz val="30"/>
      <color theme="4"/>
      <name val="Rockwell"/>
      <family val="2"/>
      <scheme val="major"/>
    </font>
    <font>
      <b/>
      <sz val="11"/>
      <color theme="4" tint="-0.24994659260841701"/>
      <name val="Lucida Sans"/>
      <family val="2"/>
      <scheme val="minor"/>
    </font>
    <font>
      <sz val="11"/>
      <color theme="3"/>
      <name val="Lucida Sans"/>
      <family val="2"/>
      <scheme val="minor"/>
    </font>
    <font>
      <b/>
      <sz val="11"/>
      <color theme="0"/>
      <name val="Lucida Sans"/>
      <family val="2"/>
      <scheme val="minor"/>
    </font>
  </fonts>
  <fills count="7">
    <fill>
      <patternFill patternType="none"/>
    </fill>
    <fill>
      <patternFill patternType="gray125"/>
    </fill>
    <fill>
      <patternFill patternType="solid">
        <fgColor theme="6" tint="0.59999389629810485"/>
        <bgColor indexed="65"/>
      </patternFill>
    </fill>
    <fill>
      <patternFill patternType="solid">
        <fgColor theme="2"/>
        <bgColor indexed="64"/>
      </patternFill>
    </fill>
    <fill>
      <patternFill patternType="solid">
        <fgColor theme="2"/>
        <bgColor theme="2" tint="0.79995117038483843"/>
      </patternFill>
    </fill>
    <fill>
      <patternFill patternType="solid">
        <fgColor theme="7" tint="0.79998168889431442"/>
        <bgColor indexed="64"/>
      </patternFill>
    </fill>
    <fill>
      <patternFill patternType="solid">
        <fgColor theme="6" tint="0.79998168889431442"/>
        <bgColor indexed="64"/>
      </patternFill>
    </fill>
  </fills>
  <borders count="7">
    <border>
      <left/>
      <right/>
      <top/>
      <bottom/>
      <diagonal/>
    </border>
    <border>
      <left/>
      <right/>
      <top/>
      <bottom style="thick">
        <color theme="4"/>
      </bottom>
      <diagonal/>
    </border>
    <border>
      <left/>
      <right/>
      <top style="thin">
        <color theme="5"/>
      </top>
      <bottom/>
      <diagonal/>
    </border>
    <border>
      <left/>
      <right/>
      <top/>
      <bottom style="medium">
        <color theme="5"/>
      </bottom>
      <diagonal/>
    </border>
    <border>
      <left/>
      <right/>
      <top/>
      <bottom style="thin">
        <color theme="5"/>
      </bottom>
      <diagonal/>
    </border>
    <border>
      <left/>
      <right/>
      <top/>
      <bottom style="thick">
        <color theme="3"/>
      </bottom>
      <diagonal/>
    </border>
    <border>
      <left/>
      <right/>
      <top style="thin">
        <color theme="5"/>
      </top>
      <bottom style="thin">
        <color theme="5"/>
      </bottom>
      <diagonal/>
    </border>
  </borders>
  <cellStyleXfs count="10">
    <xf numFmtId="0" fontId="0" fillId="0" borderId="0"/>
    <xf numFmtId="9" fontId="1" fillId="0" borderId="0" applyFont="0" applyFill="0" applyBorder="0" applyAlignment="0" applyProtection="0"/>
    <xf numFmtId="0" fontId="2" fillId="0" borderId="1" applyNumberFormat="0" applyFill="0" applyAlignment="0" applyProtection="0"/>
    <xf numFmtId="0" fontId="1" fillId="2" borderId="0" applyNumberFormat="0" applyBorder="0" applyAlignment="0" applyProtection="0"/>
    <xf numFmtId="167" fontId="1" fillId="0" borderId="0" applyFont="0" applyFill="0" applyBorder="0" applyAlignment="0" applyProtection="0"/>
    <xf numFmtId="0" fontId="5" fillId="3" borderId="5" applyNumberFormat="0" applyAlignment="0" applyProtection="0"/>
    <xf numFmtId="0" fontId="6" fillId="4" borderId="5" applyNumberFormat="0" applyFill="0" applyAlignment="0" applyProtection="0">
      <alignment vertical="center"/>
    </xf>
    <xf numFmtId="0" fontId="7" fillId="4" borderId="0">
      <alignment horizontal="left" vertical="center" wrapText="1" indent="1"/>
    </xf>
    <xf numFmtId="14" fontId="7" fillId="4" borderId="0" applyFont="0" applyFill="0" applyBorder="0">
      <alignment horizontal="right" vertical="center" indent="3"/>
    </xf>
    <xf numFmtId="166" fontId="7" fillId="0" borderId="0" applyFont="0" applyFill="0" applyBorder="0" applyProtection="0">
      <alignment horizontal="right" vertical="center" indent="2"/>
    </xf>
  </cellStyleXfs>
  <cellXfs count="24">
    <xf numFmtId="0" fontId="0" fillId="0" borderId="0" xfId="0"/>
    <xf numFmtId="0" fontId="4" fillId="0" borderId="3" xfId="2" applyFont="1" applyBorder="1" applyAlignment="1"/>
    <xf numFmtId="0" fontId="8" fillId="0" borderId="0" xfId="0" applyFont="1" applyFill="1" applyBorder="1" applyAlignment="1">
      <alignment horizontal="center" vertical="center"/>
    </xf>
    <xf numFmtId="10" fontId="0" fillId="0" borderId="2" xfId="0" applyNumberFormat="1" applyFont="1" applyFill="1" applyBorder="1" applyAlignment="1">
      <alignment vertical="center"/>
    </xf>
    <xf numFmtId="9" fontId="0" fillId="0" borderId="2" xfId="1" applyNumberFormat="1" applyFont="1" applyFill="1" applyBorder="1" applyAlignment="1">
      <alignment vertical="center"/>
    </xf>
    <xf numFmtId="0" fontId="0" fillId="0" borderId="0" xfId="0" applyFont="1" applyFill="1" applyBorder="1" applyAlignment="1">
      <alignment vertical="center"/>
    </xf>
    <xf numFmtId="9" fontId="0" fillId="0" borderId="0" xfId="0" applyNumberFormat="1" applyFont="1" applyFill="1" applyBorder="1" applyAlignment="1">
      <alignment vertical="center"/>
    </xf>
    <xf numFmtId="168" fontId="0" fillId="0" borderId="0" xfId="4" applyNumberFormat="1" applyFont="1"/>
    <xf numFmtId="168" fontId="8" fillId="0" borderId="0" xfId="4" applyNumberFormat="1" applyFont="1" applyFill="1" applyBorder="1" applyAlignment="1">
      <alignment horizontal="center" vertical="center"/>
    </xf>
    <xf numFmtId="168" fontId="0" fillId="0" borderId="2" xfId="4" applyNumberFormat="1" applyFont="1" applyFill="1" applyBorder="1" applyAlignment="1">
      <alignment vertical="center"/>
    </xf>
    <xf numFmtId="0" fontId="0" fillId="5" borderId="2" xfId="3" applyFont="1" applyFill="1" applyBorder="1" applyAlignment="1">
      <alignment vertical="center"/>
    </xf>
    <xf numFmtId="0" fontId="3" fillId="0" borderId="0" xfId="0" applyFont="1" applyAlignment="1">
      <alignment horizontal="center"/>
    </xf>
    <xf numFmtId="9" fontId="1" fillId="0" borderId="4" xfId="1" applyFont="1" applyBorder="1"/>
    <xf numFmtId="9" fontId="1" fillId="0" borderId="6" xfId="1" applyFont="1" applyBorder="1"/>
    <xf numFmtId="165" fontId="0" fillId="0" borderId="2" xfId="0" applyNumberFormat="1" applyFont="1" applyFill="1" applyBorder="1" applyAlignment="1">
      <alignment vertical="center"/>
    </xf>
    <xf numFmtId="169" fontId="0" fillId="0" borderId="2" xfId="0" applyNumberFormat="1" applyFont="1" applyFill="1" applyBorder="1" applyAlignment="1">
      <alignment vertical="center"/>
    </xf>
    <xf numFmtId="0" fontId="0" fillId="0" borderId="0" xfId="0" applyFont="1" applyFill="1" applyAlignment="1">
      <alignment vertical="center"/>
    </xf>
    <xf numFmtId="168" fontId="0" fillId="0" borderId="0" xfId="0" applyNumberFormat="1" applyFont="1" applyFill="1" applyAlignment="1">
      <alignment vertical="center"/>
    </xf>
    <xf numFmtId="168" fontId="0" fillId="0" borderId="0" xfId="0" applyNumberFormat="1" applyFont="1" applyFill="1" applyBorder="1" applyAlignment="1">
      <alignment vertical="center"/>
    </xf>
    <xf numFmtId="49" fontId="0" fillId="5" borderId="6" xfId="3" applyNumberFormat="1" applyFont="1" applyFill="1" applyBorder="1"/>
    <xf numFmtId="9" fontId="0" fillId="0" borderId="6" xfId="1" applyFont="1" applyBorder="1"/>
    <xf numFmtId="169" fontId="0" fillId="0" borderId="0" xfId="0" applyNumberFormat="1" applyFont="1" applyFill="1" applyBorder="1" applyAlignment="1">
      <alignment vertical="center"/>
    </xf>
    <xf numFmtId="9" fontId="0" fillId="6" borderId="4" xfId="3" applyNumberFormat="1" applyFont="1" applyFill="1" applyBorder="1"/>
    <xf numFmtId="0" fontId="0" fillId="6" borderId="2" xfId="3" applyFont="1" applyFill="1" applyBorder="1" applyAlignment="1">
      <alignment vertical="center"/>
    </xf>
  </cellXfs>
  <cellStyles count="10">
    <cellStyle name="40% - Accent3" xfId="3" builtinId="39"/>
    <cellStyle name="Comma" xfId="4" builtinId="3"/>
    <cellStyle name="Currency 2" xfId="9" xr:uid="{EB7F6D60-D6CC-4134-83ED-E79846265091}"/>
    <cellStyle name="Date" xfId="8" xr:uid="{0087450C-651A-4705-B55A-90DB56251BDC}"/>
    <cellStyle name="Heading 1" xfId="2" builtinId="16"/>
    <cellStyle name="Hyperlink 2" xfId="6" xr:uid="{4CFD1722-A0F2-4BEC-BA51-008B6A192B4E}"/>
    <cellStyle name="Normal" xfId="0" builtinId="0"/>
    <cellStyle name="Normal 2" xfId="7" xr:uid="{8A9A80A4-516A-4797-ADCD-A12722BD64B4}"/>
    <cellStyle name="Percent" xfId="1" builtinId="5"/>
    <cellStyle name="Title 2" xfId="5" xr:uid="{77D0364C-9A71-4FCD-AD52-5F9AA1F5CCB2}"/>
  </cellStyles>
  <dxfs count="41">
    <dxf>
      <font>
        <b val="0"/>
        <i val="0"/>
        <strike val="0"/>
        <condense val="0"/>
        <extend val="0"/>
        <outline val="0"/>
        <shadow val="0"/>
        <u val="none"/>
        <vertAlign val="baseline"/>
        <sz val="11"/>
        <color theme="1"/>
        <name val="Lucida Sans"/>
        <family val="2"/>
        <scheme val="minor"/>
      </font>
      <numFmt numFmtId="14" formatCode="0.00%"/>
      <fill>
        <patternFill patternType="none">
          <fgColor indexed="64"/>
          <bgColor indexed="65"/>
        </patternFill>
      </fill>
      <alignment horizontal="general" vertical="center" textRotation="0" wrapText="0" indent="0" justifyLastLine="0" shrinkToFit="0" readingOrder="0"/>
      <border diagonalUp="0" diagonalDown="0">
        <left/>
        <right/>
        <top style="thin">
          <color theme="5"/>
        </top>
        <bottom/>
        <vertical/>
        <horizontal/>
      </border>
    </dxf>
    <dxf>
      <font>
        <b val="0"/>
        <i val="0"/>
        <strike val="0"/>
        <condense val="0"/>
        <extend val="0"/>
        <outline val="0"/>
        <shadow val="0"/>
        <u val="none"/>
        <vertAlign val="baseline"/>
        <sz val="11"/>
        <color theme="1"/>
        <name val="Lucida Sans"/>
        <family val="2"/>
        <scheme val="minor"/>
      </font>
      <numFmt numFmtId="166" formatCode="_(&quot;$&quot;* #,##0.00_);_(&quot;$&quot;* \(#,##0.00\);_(&quot;$&quot;* &quot;-&quot;??_);_(@_)"/>
      <border diagonalUp="0" diagonalDown="0" outline="0">
        <left/>
        <right/>
        <top style="thin">
          <color theme="5"/>
        </top>
        <bottom style="thin">
          <color theme="5"/>
        </bottom>
      </border>
    </dxf>
    <dxf>
      <font>
        <b val="0"/>
        <i val="0"/>
        <strike val="0"/>
        <condense val="0"/>
        <extend val="0"/>
        <outline val="0"/>
        <shadow val="0"/>
        <u val="none"/>
        <vertAlign val="baseline"/>
        <sz val="11"/>
        <color theme="1"/>
        <name val="Lucida Sans"/>
        <family val="2"/>
        <scheme val="minor"/>
      </font>
      <numFmt numFmtId="169" formatCode="_ [$₹-439]* #,##0.00_ ;_ [$₹-439]* \-#,##0.00_ ;_ [$₹-439]* &quot;-&quot;??_ ;_ @_ "/>
      <fill>
        <patternFill patternType="none">
          <fgColor indexed="64"/>
          <bgColor indexed="65"/>
        </patternFill>
      </fill>
      <alignment horizontal="general" vertical="center" textRotation="0" wrapText="0" indent="0" justifyLastLine="0" shrinkToFit="0" readingOrder="0"/>
      <border diagonalUp="0" diagonalDown="0">
        <left/>
        <right/>
        <top style="thin">
          <color theme="5"/>
        </top>
        <bottom/>
        <vertical/>
        <horizontal/>
      </border>
    </dxf>
    <dxf>
      <font>
        <b val="0"/>
        <i val="0"/>
        <strike val="0"/>
        <condense val="0"/>
        <extend val="0"/>
        <outline val="0"/>
        <shadow val="0"/>
        <u val="none"/>
        <vertAlign val="baseline"/>
        <sz val="11"/>
        <color theme="1"/>
        <name val="Lucida Sans"/>
        <family val="2"/>
        <scheme val="minor"/>
      </font>
      <numFmt numFmtId="14" formatCode="0.00%"/>
      <border diagonalUp="0" diagonalDown="0">
        <left/>
        <right/>
        <top style="thin">
          <color theme="5"/>
        </top>
        <bottom style="thin">
          <color theme="5"/>
        </bottom>
      </border>
    </dxf>
    <dxf>
      <font>
        <b val="0"/>
        <i val="0"/>
        <strike val="0"/>
        <condense val="0"/>
        <extend val="0"/>
        <outline val="0"/>
        <shadow val="0"/>
        <u val="none"/>
        <vertAlign val="baseline"/>
        <sz val="11"/>
        <color theme="1"/>
        <name val="Lucida Sans"/>
        <family val="2"/>
        <scheme val="minor"/>
      </font>
      <numFmt numFmtId="14" formatCode="0.00%"/>
      <border diagonalUp="0" diagonalDown="0">
        <left/>
        <right/>
        <top style="thin">
          <color theme="5"/>
        </top>
        <bottom style="thin">
          <color theme="5"/>
        </bottom>
      </border>
    </dxf>
    <dxf>
      <font>
        <b val="0"/>
        <i val="0"/>
        <strike val="0"/>
        <condense val="0"/>
        <extend val="0"/>
        <outline val="0"/>
        <shadow val="0"/>
        <u val="none"/>
        <vertAlign val="baseline"/>
        <sz val="11"/>
        <color theme="1"/>
        <name val="Lucida Sans"/>
        <family val="2"/>
        <scheme val="minor"/>
      </font>
      <border diagonalUp="0" diagonalDown="0" outline="0">
        <left/>
        <right/>
        <top style="thin">
          <color theme="5"/>
        </top>
        <bottom style="thin">
          <color theme="5"/>
        </bottom>
      </border>
    </dxf>
    <dxf>
      <font>
        <b val="0"/>
        <i val="0"/>
        <strike val="0"/>
        <condense val="0"/>
        <extend val="0"/>
        <outline val="0"/>
        <shadow val="0"/>
        <u val="none"/>
        <vertAlign val="baseline"/>
        <sz val="11"/>
        <color theme="1"/>
        <name val="Lucida Sans"/>
        <family val="2"/>
        <scheme val="minor"/>
      </font>
      <numFmt numFmtId="13" formatCode="0%"/>
      <fill>
        <patternFill patternType="solid">
          <fgColor indexed="64"/>
          <bgColor theme="7" tint="0.79998168889431442"/>
        </patternFill>
      </fill>
      <border diagonalUp="0" diagonalDown="0">
        <left/>
        <right/>
        <top/>
        <bottom style="thin">
          <color theme="5"/>
        </bottom>
      </border>
    </dxf>
    <dxf>
      <font>
        <strike val="0"/>
        <outline val="0"/>
        <shadow val="0"/>
        <u val="none"/>
        <vertAlign val="baseline"/>
        <sz val="11"/>
        <color theme="1"/>
        <name val="Lucida Sans"/>
        <family val="2"/>
        <scheme val="minor"/>
      </font>
      <numFmt numFmtId="30" formatCode="@"/>
      <fill>
        <patternFill patternType="solid">
          <fgColor indexed="64"/>
          <bgColor theme="6" tint="0.79998168889431442"/>
        </patternFill>
      </fill>
      <border diagonalUp="0" diagonalDown="0" outline="0">
        <left/>
        <right/>
        <top/>
        <bottom style="thin">
          <color theme="5"/>
        </bottom>
      </border>
    </dxf>
    <dxf>
      <font>
        <strike val="0"/>
        <outline val="0"/>
        <shadow val="0"/>
        <u val="none"/>
        <vertAlign val="baseline"/>
        <sz val="11"/>
        <color theme="1"/>
        <name val="Lucida Sans"/>
        <family val="2"/>
        <scheme val="minor"/>
      </font>
      <numFmt numFmtId="30" formatCode="@"/>
      <fill>
        <patternFill patternType="solid">
          <fgColor indexed="64"/>
          <bgColor theme="7" tint="0.79998168889431442"/>
        </patternFill>
      </fill>
      <border diagonalUp="0" diagonalDown="0" outline="0">
        <left/>
        <right/>
        <top style="thin">
          <color theme="5"/>
        </top>
        <bottom style="thin">
          <color theme="5"/>
        </bottom>
      </border>
    </dxf>
    <dxf>
      <font>
        <b val="0"/>
        <i val="0"/>
        <strike val="0"/>
        <condense val="0"/>
        <extend val="0"/>
        <outline val="0"/>
        <shadow val="0"/>
        <u val="none"/>
        <vertAlign val="baseline"/>
        <sz val="11"/>
        <color theme="1"/>
        <name val="Lucida Sans"/>
        <family val="2"/>
        <scheme val="minor"/>
      </font>
    </dxf>
    <dxf>
      <font>
        <strike val="0"/>
        <outline val="0"/>
        <shadow val="0"/>
        <u val="none"/>
        <vertAlign val="baseline"/>
        <sz val="12"/>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Lucida Sans"/>
        <family val="2"/>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minor"/>
      </font>
      <numFmt numFmtId="13" formatCode="0%"/>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11"/>
        <color theme="1"/>
        <name val="Lucida Sans"/>
        <family val="2"/>
        <scheme val="minor"/>
      </font>
      <numFmt numFmtId="169" formatCode="_ [$₹-439]* #,##0.00_ ;_ [$₹-439]* \-#,##0.00_ ;_ [$₹-439]* &quot;-&quot;??_ ;_ @_ "/>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Lucida Sans"/>
        <family val="2"/>
        <scheme val="minor"/>
      </font>
      <numFmt numFmtId="170" formatCode="_([$$-409]* #,##0.00_);_([$$-409]* \(#,##0.00\);_([$$-409]* &quot;-&quot;??_);_(@_)"/>
      <fill>
        <patternFill patternType="none">
          <fgColor indexed="64"/>
          <bgColor auto="1"/>
        </patternFill>
      </fill>
      <alignment vertical="center" textRotation="0" wrapText="0" indent="0" justifyLastLine="0" shrinkToFit="0" readingOrder="0"/>
      <border diagonalUp="0" diagonalDown="0" outline="0">
        <left/>
        <right/>
        <top style="thin">
          <color theme="5"/>
        </top>
        <bottom/>
      </border>
    </dxf>
    <dxf>
      <font>
        <b val="0"/>
        <i val="0"/>
        <strike val="0"/>
        <condense val="0"/>
        <extend val="0"/>
        <outline val="0"/>
        <shadow val="0"/>
        <u val="none"/>
        <vertAlign val="baseline"/>
        <sz val="11"/>
        <color theme="1"/>
        <name val="Lucida Sans"/>
        <family val="2"/>
        <scheme val="minor"/>
      </font>
      <numFmt numFmtId="169" formatCode="_ [$₹-439]* #,##0.00_ ;_ [$₹-439]* \-#,##0.00_ ;_ [$₹-439]* &quot;-&quot;??_ ;_ @_ "/>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Lucida Sans"/>
        <family val="2"/>
        <scheme val="minor"/>
      </font>
      <numFmt numFmtId="169" formatCode="_ [$₹-439]* #,##0.00_ ;_ [$₹-439]* \-#,##0.00_ ;_ [$₹-439]* &quot;-&quot;??_ ;_ @_ "/>
      <fill>
        <patternFill patternType="none">
          <fgColor indexed="64"/>
          <bgColor indexed="65"/>
        </patternFill>
      </fill>
      <alignment horizontal="general" vertical="center" textRotation="0" wrapText="0" indent="0" justifyLastLine="0" shrinkToFit="0" readingOrder="0"/>
      <border diagonalUp="0" diagonalDown="0">
        <left/>
        <right/>
        <top style="thin">
          <color theme="5"/>
        </top>
        <bottom/>
        <vertical/>
        <horizontal/>
      </border>
    </dxf>
    <dxf>
      <font>
        <b val="0"/>
        <i val="0"/>
        <strike val="0"/>
        <condense val="0"/>
        <extend val="0"/>
        <outline val="0"/>
        <shadow val="0"/>
        <u val="none"/>
        <vertAlign val="baseline"/>
        <sz val="11"/>
        <color theme="1"/>
        <name val="Lucida Sans"/>
        <family val="2"/>
        <scheme val="minor"/>
      </font>
      <numFmt numFmtId="1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Lucida Sans"/>
        <family val="2"/>
        <scheme val="minor"/>
      </font>
      <numFmt numFmtId="13" formatCode="0%"/>
      <fill>
        <patternFill patternType="none">
          <fgColor indexed="64"/>
          <bgColor auto="1"/>
        </patternFill>
      </fill>
      <alignment vertical="center" textRotation="0" wrapText="0" indent="0" justifyLastLine="0" shrinkToFit="0" readingOrder="0"/>
      <border diagonalUp="0" diagonalDown="0" outline="0">
        <left/>
        <right/>
        <top style="thin">
          <color theme="5"/>
        </top>
        <bottom/>
      </border>
    </dxf>
    <dxf>
      <font>
        <b val="0"/>
        <i val="0"/>
        <strike val="0"/>
        <condense val="0"/>
        <extend val="0"/>
        <outline val="0"/>
        <shadow val="0"/>
        <u val="none"/>
        <vertAlign val="baseline"/>
        <sz val="11"/>
        <color theme="1"/>
        <name val="Lucida Sans"/>
        <family val="2"/>
        <scheme val="minor"/>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Lucida Sans"/>
        <family val="2"/>
        <scheme val="minor"/>
      </font>
      <numFmt numFmtId="13" formatCode="0%"/>
      <fill>
        <patternFill patternType="none">
          <fgColor indexed="64"/>
          <bgColor indexed="65"/>
        </patternFill>
      </fill>
      <alignment horizontal="general" vertical="center" textRotation="0" wrapText="0" indent="0" justifyLastLine="0" shrinkToFit="0" readingOrder="0"/>
      <border diagonalUp="0" diagonalDown="0">
        <left/>
        <right/>
        <top style="thin">
          <color theme="5"/>
        </top>
        <bottom/>
        <vertical/>
        <horizontal/>
      </border>
    </dxf>
    <dxf>
      <font>
        <b val="0"/>
        <i val="0"/>
        <strike val="0"/>
        <condense val="0"/>
        <extend val="0"/>
        <outline val="0"/>
        <shadow val="0"/>
        <u val="none"/>
        <vertAlign val="baseline"/>
        <sz val="11"/>
        <color theme="1"/>
        <name val="Lucida Sans"/>
        <family val="2"/>
        <scheme val="minor"/>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Lucida Sans"/>
        <family val="2"/>
        <scheme val="minor"/>
      </font>
      <numFmt numFmtId="14" formatCode="0.00%"/>
      <fill>
        <patternFill patternType="none">
          <fgColor indexed="64"/>
          <bgColor auto="1"/>
        </patternFill>
      </fill>
      <alignment vertical="center" textRotation="0" wrapText="0" indent="0" justifyLastLine="0" shrinkToFit="0" readingOrder="0"/>
      <border diagonalUp="0" diagonalDown="0" outline="0">
        <left/>
        <right/>
        <top style="thin">
          <color theme="5"/>
        </top>
        <bottom/>
      </border>
    </dxf>
    <dxf>
      <font>
        <b val="0"/>
        <i val="0"/>
        <strike val="0"/>
        <condense val="0"/>
        <extend val="0"/>
        <outline val="0"/>
        <shadow val="0"/>
        <u val="none"/>
        <vertAlign val="baseline"/>
        <sz val="11"/>
        <color theme="1"/>
        <name val="Lucida Sans"/>
        <family val="2"/>
        <scheme val="minor"/>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Lucida Sans"/>
        <family val="2"/>
        <scheme val="minor"/>
      </font>
      <numFmt numFmtId="170" formatCode="_([$$-409]* #,##0.00_);_([$$-409]* \(#,##0.00\);_([$$-409]* &quot;-&quot;??_);_(@_)"/>
      <fill>
        <patternFill patternType="none">
          <fgColor indexed="64"/>
          <bgColor auto="1"/>
        </patternFill>
      </fill>
      <alignment vertical="center" textRotation="0" wrapText="0" indent="0" justifyLastLine="0" shrinkToFit="0" readingOrder="0"/>
      <border diagonalUp="0" diagonalDown="0" outline="0">
        <left/>
        <right/>
        <top style="thin">
          <color theme="5"/>
        </top>
        <bottom/>
      </border>
    </dxf>
    <dxf>
      <font>
        <b val="0"/>
        <i val="0"/>
        <strike val="0"/>
        <condense val="0"/>
        <extend val="0"/>
        <outline val="0"/>
        <shadow val="0"/>
        <u val="none"/>
        <vertAlign val="baseline"/>
        <sz val="11"/>
        <color theme="1"/>
        <name val="Lucida Sans"/>
        <family val="2"/>
        <scheme val="minor"/>
      </font>
      <numFmt numFmtId="168" formatCode="_(* #,##0_);_(* \(#,##0\);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minor"/>
      </font>
      <numFmt numFmtId="168" formatCode="_(* #,##0_);_(* \(#,##0\);_(* &quot;-&quot;??_);_(@_)"/>
      <fill>
        <patternFill patternType="none">
          <fgColor indexed="64"/>
          <bgColor indexed="65"/>
        </patternFill>
      </fill>
      <alignment horizontal="general" vertical="center" textRotation="0" wrapText="0" indent="0" justifyLastLine="0" shrinkToFit="0" readingOrder="0"/>
      <border diagonalUp="0" diagonalDown="0">
        <left/>
        <right/>
        <top style="thin">
          <color theme="5"/>
        </top>
        <bottom/>
        <vertical/>
        <horizontal/>
      </border>
    </dxf>
    <dxf>
      <font>
        <b val="0"/>
        <i val="0"/>
        <strike val="0"/>
        <condense val="0"/>
        <extend val="0"/>
        <outline val="0"/>
        <shadow val="0"/>
        <u val="none"/>
        <vertAlign val="baseline"/>
        <sz val="11"/>
        <color theme="1"/>
        <name val="Lucida Sans"/>
        <family val="2"/>
        <scheme val="minor"/>
      </font>
      <numFmt numFmtId="168" formatCode="_(* #,##0_);_(* \(#,##0\);_(* &quot;-&quot;??_);_(@_)"/>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Lucida Sans"/>
        <family val="2"/>
        <scheme val="minor"/>
      </font>
      <numFmt numFmtId="168" formatCode="_(* #,##0_);_(* \(#,##0\);_(* &quot;-&quot;??_);_(@_)"/>
      <fill>
        <patternFill patternType="none">
          <fgColor indexed="64"/>
          <bgColor auto="1"/>
        </patternFill>
      </fill>
      <alignment vertical="center" textRotation="0" wrapText="0" indent="0" justifyLastLine="0" shrinkToFit="0" readingOrder="0"/>
      <border diagonalUp="0" diagonalDown="0" outline="0">
        <left/>
        <right/>
        <top style="thin">
          <color theme="5"/>
        </top>
        <bottom/>
      </border>
    </dxf>
    <dxf>
      <font>
        <b val="0"/>
        <i val="0"/>
        <strike val="0"/>
        <condense val="0"/>
        <extend val="0"/>
        <outline val="0"/>
        <shadow val="0"/>
        <u val="none"/>
        <vertAlign val="baseline"/>
        <sz val="11"/>
        <color theme="1"/>
        <name val="Lucida Sans"/>
        <family val="2"/>
        <scheme val="minor"/>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Lucida Sans"/>
        <family val="2"/>
        <scheme val="minor"/>
      </font>
      <fill>
        <patternFill patternType="solid">
          <fgColor indexed="64"/>
          <bgColor theme="6" tint="0.79998168889431442"/>
        </patternFill>
      </fill>
      <alignment vertical="center" textRotation="0" wrapText="0" indent="0" justifyLastLine="0" shrinkToFit="0" readingOrder="0"/>
      <border diagonalUp="0" diagonalDown="0" outline="0">
        <left/>
        <right/>
        <top style="thin">
          <color theme="5"/>
        </top>
        <bottom/>
      </border>
    </dxf>
    <dxf>
      <font>
        <b val="0"/>
        <i val="0"/>
        <strike val="0"/>
        <condense val="0"/>
        <extend val="0"/>
        <outline val="0"/>
        <shadow val="0"/>
        <u val="none"/>
        <vertAlign val="baseline"/>
        <sz val="11"/>
        <color theme="1"/>
        <name val="Lucida Sans"/>
        <family val="2"/>
        <scheme val="minor"/>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Lucida Sans"/>
        <family val="2"/>
        <scheme val="minor"/>
      </font>
      <fill>
        <patternFill patternType="solid">
          <fgColor indexed="64"/>
          <bgColor theme="7" tint="0.79998168889431442"/>
        </patternFill>
      </fill>
      <alignment vertical="center" textRotation="0" wrapText="0" indent="0" justifyLastLine="0" shrinkToFit="0" readingOrder="0"/>
      <border diagonalUp="0" diagonalDown="0" outline="0">
        <left/>
        <right/>
        <top style="thin">
          <color theme="5"/>
        </top>
        <bottom/>
      </border>
    </dxf>
    <dxf>
      <font>
        <strike val="0"/>
        <outline val="0"/>
        <shadow val="0"/>
        <u val="none"/>
        <vertAlign val="baseline"/>
        <sz val="11"/>
        <name val="Lucida Sans"/>
        <family val="2"/>
        <scheme val="minor"/>
      </font>
      <fill>
        <patternFill patternType="none">
          <fgColor indexed="64"/>
          <bgColor auto="1"/>
        </patternFill>
      </fill>
      <alignment vertical="center" textRotation="0" wrapText="0" indent="0" justifyLastLine="0" shrinkToFit="0" readingOrder="0"/>
    </dxf>
    <dxf>
      <border outline="0">
        <left style="thin">
          <color theme="5"/>
        </left>
        <right style="thin">
          <color theme="5"/>
        </right>
        <top style="thin">
          <color theme="5"/>
        </top>
        <bottom style="thin">
          <color theme="5"/>
        </bottom>
      </border>
    </dxf>
    <dxf>
      <font>
        <b val="0"/>
        <i val="0"/>
        <strike val="0"/>
        <condense val="0"/>
        <extend val="0"/>
        <outline val="0"/>
        <shadow val="0"/>
        <u val="none"/>
        <vertAlign val="baseline"/>
        <sz val="11"/>
        <color theme="1"/>
        <name val="Lucida Sans"/>
        <family val="2"/>
        <scheme val="minor"/>
      </font>
      <fill>
        <patternFill patternType="none">
          <fgColor indexed="64"/>
          <bgColor auto="1"/>
        </patternFill>
      </fill>
      <alignment vertical="center" textRotation="0" wrapText="0" indent="0" justifyLastLine="0" shrinkToFit="0" readingOrder="0"/>
    </dxf>
    <dxf>
      <font>
        <b/>
        <i val="0"/>
        <strike val="0"/>
        <condense val="0"/>
        <extend val="0"/>
        <outline val="0"/>
        <shadow val="0"/>
        <u val="none"/>
        <vertAlign val="baseline"/>
        <sz val="11"/>
        <color theme="0"/>
        <name val="Lucida Sans"/>
        <family val="2"/>
        <scheme val="minor"/>
      </font>
      <fill>
        <patternFill patternType="none">
          <fgColor indexed="64"/>
          <bgColor auto="1"/>
        </patternFill>
      </fill>
      <alignment horizontal="center" vertical="center" textRotation="0" wrapText="0" indent="0" justifyLastLine="0" shrinkToFit="0" readingOrder="0"/>
    </dxf>
    <dxf>
      <fill>
        <patternFill patternType="solid">
          <fgColor theme="2" tint="0.59996337778862885"/>
          <bgColor theme="0" tint="-4.9989318521683403E-2"/>
        </patternFill>
      </fill>
    </dxf>
    <dxf>
      <fill>
        <patternFill patternType="solid">
          <fgColor theme="2" tint="0.79995117038483843"/>
          <bgColor theme="2"/>
        </patternFill>
      </fill>
    </dxf>
    <dxf>
      <font>
        <b/>
        <i val="0"/>
        <color theme="2"/>
      </font>
      <fill>
        <patternFill>
          <bgColor theme="6" tint="-0.499984740745262"/>
        </patternFill>
      </fill>
      <border>
        <top style="thick">
          <color theme="0"/>
        </top>
      </border>
    </dxf>
    <dxf>
      <font>
        <b val="0"/>
        <i val="0"/>
        <color auto="1"/>
      </font>
      <fill>
        <patternFill patternType="none">
          <bgColor auto="1"/>
        </patternFill>
      </fill>
      <border diagonalUp="0" diagonalDown="0">
        <left/>
        <right/>
        <top/>
        <bottom style="thick">
          <color theme="6" tint="-0.499984740745262"/>
        </bottom>
        <vertical/>
        <horizontal/>
      </border>
    </dxf>
  </dxfs>
  <tableStyles count="1" defaultTableStyle="TableStyleMedium2" defaultPivotStyle="PivotStyleLight16">
    <tableStyle name="Investment Tracker Table" pivot="0" count="4" xr9:uid="{00000000-0011-0000-FFFF-FFFF00000000}">
      <tableStyleElement type="wholeTable" dxfId="40"/>
      <tableStyleElement type="headerRow" dxfId="39"/>
      <tableStyleElement type="firstRowStripe" dxfId="38"/>
      <tableStyleElement type="secondRowStripe" dxfId="3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openxmlformats.org/officeDocument/2006/relationships/calcChain" Target="calcChain.xml"/><Relationship Id="rId3" Type="http://schemas.openxmlformats.org/officeDocument/2006/relationships/theme" Target="theme/theme1.xml"/><Relationship Id="rId7" Type="http://schemas.microsoft.com/office/2017/06/relationships/rdRichValue" Target="richData/rdrichvalue.xml"/><Relationship Id="rId12"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dSupportingPropertyBag" Target="richData/rdsupportingpropertybag.xml"/><Relationship Id="rId5" Type="http://schemas.openxmlformats.org/officeDocument/2006/relationships/sharedStrings" Target="sharedStrings.xml"/><Relationship Id="rId15" Type="http://schemas.openxmlformats.org/officeDocument/2006/relationships/customXml" Target="../customXml/item2.xml"/><Relationship Id="rId10" Type="http://schemas.microsoft.com/office/2017/06/relationships/rdSupportingPropertyBagStructure" Target="richData/rdsupportingpropertybagstructure.xml"/><Relationship Id="rId4" Type="http://schemas.openxmlformats.org/officeDocument/2006/relationships/styles" Target="styles.xml"/><Relationship Id="rId9" Type="http://schemas.microsoft.com/office/2017/06/relationships/richStyles" Target="richData/richStyle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bar"/>
        <c:grouping val="clustered"/>
        <c:varyColors val="0"/>
        <c:ser>
          <c:idx val="1"/>
          <c:order val="0"/>
          <c:tx>
            <c:strRef>
              <c:f>'Asset Allocation'!$D$17</c:f>
              <c:strCache>
                <c:ptCount val="1"/>
                <c:pt idx="0">
                  <c:v>Actual</c:v>
                </c:pt>
              </c:strCache>
            </c:strRef>
          </c:tx>
          <c:spPr>
            <a:solidFill>
              <a:schemeClr val="accent1">
                <a:shade val="76000"/>
              </a:schemeClr>
            </a:solidFill>
            <a:ln>
              <a:noFill/>
            </a:ln>
            <a:effectLst/>
          </c:spPr>
          <c:invertIfNegative val="0"/>
          <c:cat>
            <c:strRef>
              <c:extLst>
                <c:ext xmlns:c15="http://schemas.microsoft.com/office/drawing/2012/chart" uri="{02D57815-91ED-43cb-92C2-25804820EDAC}">
                  <c15:fullRef>
                    <c15:sqref>'Asset Allocation'!$A$17:$A$21</c15:sqref>
                  </c15:fullRef>
                </c:ext>
              </c:extLst>
              <c:f>'Asset Allocation'!$A$18:$A$21</c:f>
              <c:strCache>
                <c:ptCount val="4"/>
                <c:pt idx="0">
                  <c:v>Banking Financials</c:v>
                </c:pt>
                <c:pt idx="1">
                  <c:v>Paints</c:v>
                </c:pt>
                <c:pt idx="2">
                  <c:v>Automotive</c:v>
                </c:pt>
                <c:pt idx="3">
                  <c:v>Pharmaceutical</c:v>
                </c:pt>
              </c:strCache>
            </c:strRef>
          </c:cat>
          <c:val>
            <c:numRef>
              <c:extLst>
                <c:ext xmlns:c15="http://schemas.microsoft.com/office/drawing/2012/chart" uri="{02D57815-91ED-43cb-92C2-25804820EDAC}">
                  <c15:fullRef>
                    <c15:sqref>'Asset Allocation'!$D$17:$D$21</c15:sqref>
                  </c15:fullRef>
                </c:ext>
              </c:extLst>
              <c:f>'Asset Allocation'!$D$18:$D$21</c:f>
              <c:numCache>
                <c:formatCode>0%</c:formatCode>
                <c:ptCount val="4"/>
                <c:pt idx="0">
                  <c:v>0.27628580394533236</c:v>
                </c:pt>
                <c:pt idx="1">
                  <c:v>0.19404196379297284</c:v>
                </c:pt>
                <c:pt idx="2">
                  <c:v>0.30893056171750727</c:v>
                </c:pt>
                <c:pt idx="3">
                  <c:v>0.2207416705441875</c:v>
                </c:pt>
              </c:numCache>
            </c:numRef>
          </c:val>
          <c:extLst>
            <c:ext xmlns:c16="http://schemas.microsoft.com/office/drawing/2014/chart" uri="{C3380CC4-5D6E-409C-BE32-E72D297353CC}">
              <c16:uniqueId val="{00000001-9233-49AA-B617-E90F1098E8F6}"/>
            </c:ext>
          </c:extLst>
        </c:ser>
        <c:ser>
          <c:idx val="0"/>
          <c:order val="1"/>
          <c:tx>
            <c:strRef>
              <c:f>'Asset Allocation'!$B$17</c:f>
              <c:strCache>
                <c:ptCount val="1"/>
                <c:pt idx="0">
                  <c:v>My Target</c:v>
                </c:pt>
              </c:strCache>
            </c:strRef>
          </c:tx>
          <c:spPr>
            <a:solidFill>
              <a:schemeClr val="accent3"/>
            </a:solidFill>
            <a:ln>
              <a:noFill/>
            </a:ln>
            <a:effectLst/>
          </c:spPr>
          <c:invertIfNegative val="0"/>
          <c:cat>
            <c:strRef>
              <c:extLst>
                <c:ext xmlns:c15="http://schemas.microsoft.com/office/drawing/2012/chart" uri="{02D57815-91ED-43cb-92C2-25804820EDAC}">
                  <c15:fullRef>
                    <c15:sqref>'Asset Allocation'!$A$17:$A$21</c15:sqref>
                  </c15:fullRef>
                </c:ext>
              </c:extLst>
              <c:f>'Asset Allocation'!$A$18:$A$21</c:f>
              <c:strCache>
                <c:ptCount val="4"/>
                <c:pt idx="0">
                  <c:v>Banking Financials</c:v>
                </c:pt>
                <c:pt idx="1">
                  <c:v>Paints</c:v>
                </c:pt>
                <c:pt idx="2">
                  <c:v>Automotive</c:v>
                </c:pt>
                <c:pt idx="3">
                  <c:v>Pharmaceutical</c:v>
                </c:pt>
              </c:strCache>
            </c:strRef>
          </c:cat>
          <c:val>
            <c:numRef>
              <c:extLst>
                <c:ext xmlns:c15="http://schemas.microsoft.com/office/drawing/2012/chart" uri="{02D57815-91ED-43cb-92C2-25804820EDAC}">
                  <c15:fullRef>
                    <c15:sqref>'Asset Allocation'!$B$17:$B$21</c15:sqref>
                  </c15:fullRef>
                </c:ext>
              </c:extLst>
              <c:f>'Asset Allocation'!$B$18:$B$21</c:f>
              <c:numCache>
                <c:formatCode>0%</c:formatCode>
                <c:ptCount val="4"/>
                <c:pt idx="0">
                  <c:v>0.35</c:v>
                </c:pt>
                <c:pt idx="1">
                  <c:v>0.15</c:v>
                </c:pt>
                <c:pt idx="2">
                  <c:v>0.25</c:v>
                </c:pt>
                <c:pt idx="3">
                  <c:v>0.25</c:v>
                </c:pt>
              </c:numCache>
            </c:numRef>
          </c:val>
          <c:extLst>
            <c:ext xmlns:c16="http://schemas.microsoft.com/office/drawing/2014/chart" uri="{C3380CC4-5D6E-409C-BE32-E72D297353CC}">
              <c16:uniqueId val="{00000000-9233-49AA-B617-E90F1098E8F6}"/>
            </c:ext>
          </c:extLst>
        </c:ser>
        <c:dLbls>
          <c:showLegendKey val="0"/>
          <c:showVal val="0"/>
          <c:showCatName val="0"/>
          <c:showSerName val="0"/>
          <c:showPercent val="0"/>
          <c:showBubbleSize val="0"/>
        </c:dLbls>
        <c:gapWidth val="182"/>
        <c:axId val="800952512"/>
        <c:axId val="800952184"/>
      </c:barChart>
      <c:catAx>
        <c:axId val="800952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800952184"/>
        <c:crosses val="autoZero"/>
        <c:auto val="1"/>
        <c:lblAlgn val="ctr"/>
        <c:lblOffset val="100"/>
        <c:noMultiLvlLbl val="0"/>
      </c:catAx>
      <c:valAx>
        <c:axId val="800952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952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latin typeface="+mn-lt"/>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19050</xdr:colOff>
      <xdr:row>1</xdr:row>
      <xdr:rowOff>214312</xdr:rowOff>
    </xdr:from>
    <xdr:to>
      <xdr:col>8</xdr:col>
      <xdr:colOff>0</xdr:colOff>
      <xdr:row>15</xdr:row>
      <xdr:rowOff>14287</xdr:rowOff>
    </xdr:to>
    <xdr:graphicFrame macro="">
      <xdr:nvGraphicFramePr>
        <xdr:cNvPr id="2" name="Chart 1" descr="The Asset Allocation chart displays My Target and Actual allocation for each asset class.">
          <a:extLst>
            <a:ext uri="{FF2B5EF4-FFF2-40B4-BE49-F238E27FC236}">
              <a16:creationId xmlns:a16="http://schemas.microsoft.com/office/drawing/2014/main" id="{30AEE0E5-EA8D-4E57-B14A-8157E8CD2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Flags>
  </global>
  <types>
    <type name="_imageurl">
      <keyFlags>
        <key name="Attribution Size">
          <flag name="ShowInAutoComplete"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Flags>
    </type>
  </types>
</rvTypesInfo>
</file>

<file path=xl/richData/rdrichvalue.xml><?xml version="1.0" encoding="utf-8"?>
<rvData xmlns="http://schemas.microsoft.com/office/spreadsheetml/2017/richdata" count="17">
  <rv s="0">
    <v>https://www.bing.com/financeapi/forcetrigger?t=ah8b3m&amp;q=XBOM%3a500820&amp;form=skydnc</v>
    <v>Bing</v>
  </rv>
  <rv s="0">
    <v>https://upload.wikimedia.org/wikipedia/commons/thumb/c/c7/Bing_logo_%282016%29.svg/500px-Bing_logo_%282016%29.svg.png</v>
    <v>Bing</v>
  </rv>
  <rv s="1">
    <v>en-US</v>
    <v>ah8b3m</v>
    <v>268435456</v>
    <v>268435457</v>
    <v>1</v>
    <v>0</v>
    <v>Asian Paints Ltd (XBOM:500820)</v>
    <v>2</v>
    <v>3</v>
    <v>Finance</v>
    <v>4</v>
    <v>1833.65</v>
    <v>1232.0999999999999</v>
    <v>0.7944</v>
    <v>-33.450000000000003</v>
    <v>-1.8311999999999998E-2</v>
    <v>INR</v>
    <v>0</v>
    <v>1</v>
    <v>Asian Paints Limited is a paint company. The Company is engaged in the business of manufacturing, selling and distribution of paints, coatings, products related to home decor, bath fittings and providing of related services. The Company's business segments are Paints and Home Improvement. The Home Improvement segment includes its bath fittings business. Its geographical segments are Domestic and International operations. The Domestic segment includes operations of the Company and its Indian subsidiaries, and joint ventures. It manufactures a range of paints for decorative and industrial use. Its products include special effects, plain finishes and distempers for interior walls; textures finishes, plain finishes and design for exteriors for exterior walls; wall papers; wood finishes; metal finishes; water proofing solutions; adhesives, and painting tools and implements. It operates in over 20 countries and has over 30 manufacturing facilities, servicing consumers in over 65 countries.</v>
    <v>6456</v>
    <v>Bombay Stock Exchange</v>
    <v>XBOM</v>
    <v>XBOM</v>
    <v>Asian Paints House, 6A, Shantinagar, Santacruz (EAST), MUMBAI, MAHARASHTRA, 400055 IN</v>
    <v>1827.2</v>
    <v>Chemicals</v>
    <v>Stock</v>
    <v>43777.4375</v>
    <v>1791.75</v>
    <v>1752406000000</v>
    <v>Asian Paints Ltd</v>
    <v>Asian Paints Ltd</v>
    <v>1825</v>
    <v>62.88</v>
    <v>1826.65</v>
    <v>1793.2</v>
    <v>959197800</v>
    <v>500820</v>
    <v>Asian Paints Ltd (XBOM:500820)</v>
    <v>57071</v>
    <v>1945</v>
  </rv>
  <rv s="2">
    <v>2</v>
  </rv>
  <rv s="0">
    <v>https://www.bing.com/financeapi/forcetrigger?t=ahiwa2&amp;q=XNSE%3aMARUTI&amp;form=skydnc</v>
    <v>Bing</v>
  </rv>
  <rv s="0">
    <v>http://en.wikipedia.org/wiki/Public_domain</v>
    <v>Public domain</v>
  </rv>
  <rv s="0">
    <v>http://en.wikipedia.org/wiki/Maruti_Suzuki</v>
    <v>Wikipedia</v>
  </rv>
  <rv s="3">
    <v>5</v>
    <v>6</v>
  </rv>
  <rv s="4">
    <v>https://www.bing.com/th?id=AMMS_d045c7d7fc6ee85da644aa04840284ed&amp;qlt=95</v>
    <v>7</v>
    <v>https://www.bing.com/images/search?form=xlimg&amp;q=maruti+suzuki</v>
    <v>Image of Maruti Suzuki India Ltd</v>
  </rv>
  <rv s="5">
    <v>en-US</v>
    <v>ahiwa2</v>
    <v>268435456</v>
    <v>268435457</v>
    <v>1</v>
    <v>5</v>
    <v>Maruti Suzuki India Ltd (XNSE:MARUTI)</v>
    <v>7</v>
    <v>8</v>
    <v>Finance</v>
    <v>9</v>
    <v>7949.75</v>
    <v>5446.05</v>
    <v>1.2844</v>
    <v>-63.25</v>
    <v>-8.7840000000000001E-3</v>
    <v>INR</v>
    <v>4</v>
    <v>1</v>
    <v>Maruti Suzuki India Limited is a holding company. The Company is engaged in the manufacture, purchase and sale of motor vehicles, components and spare parts (automobiles). The other activities of the Company comprise facilitation of pre-owned car sales, fleet management and car financing. Its geographical segments include the domestic segment, which includes sales to customers located in India, and the overseas segment, which includes sales to customers located outside India. The Company's product portfolio includes Alto 800, Alto K10, Wagon R, Celerio, Ritz, Swift, DZire, Ertiga, Omni, Eeco, Gypsy and Ciaz. Its service offerings include Maruti Finance, True Value, Maruti Genuine Parts, Maruti Genuine Accessories, Maruti Suzuki Auto Card and Maruti Driving School. It has approximately five plants, located in Palam Gurgaon Road, Gurgaon, Haryana, and at Manesar Industrial Town, Gurgaon, Haryana, with an installed capacity of over 1.5 million vehicles per year.</v>
    <v>15892</v>
    <v>National Stock Exchange of India</v>
    <v>XNSE</v>
    <v>XNSE</v>
    <v>Plot No 1, Nelson Mandela Road,, Vasant Kunj, NEW DELHI, DELHI, 110070 IN</v>
    <v>7237.45</v>
    <v>8</v>
    <v>Automobiles &amp; Auto Parts</v>
    <v>Stock</v>
    <v>43780.463877314818</v>
    <v>7074</v>
    <v>2201303000000</v>
    <v>Maruti Suzuki India Ltd</v>
    <v>Maruti Suzuki India Ltd</v>
    <v>7160</v>
    <v>35.54</v>
    <v>7200.55</v>
    <v>7137.3</v>
    <v>302080000</v>
    <v>MARUTI</v>
    <v>Maruti Suzuki India Ltd (XNSE:MARUTI)</v>
    <v>864507</v>
    <v>1981</v>
  </rv>
  <rv s="2">
    <v>9</v>
  </rv>
  <rv s="0">
    <v>https://www.bing.com/financeapi/forcetrigger?t=ahhkhw&amp;q=XNSE%3aDIVISLAB&amp;form=skydnc</v>
    <v>Bing</v>
  </rv>
  <rv s="6">
    <v>en-US</v>
    <v>ahhkhw</v>
    <v>268435456</v>
    <v>268435457</v>
    <v>1</v>
    <v>10</v>
    <v>Divi's Laboratories Ltd (XNSE:DIVISLAB)</v>
    <v>2</v>
    <v>11</v>
    <v>Finance</v>
    <v>9</v>
    <v>1779.05</v>
    <v>1420</v>
    <v>0.1</v>
    <v>-18.05</v>
    <v>-1.0506E-2</v>
    <v>INR</v>
    <v>11</v>
    <v>1</v>
    <v>Divi's Laboratories Limited is engaged in manufacturing and sale of active pharmaceutical ingredients (APIs) and Intermediates. The Company's geographical segments include India (Sales to customers within India) and other countries (Sales to customers outside India). Its products include Generic APIs, Intermediates, Peptide Building Blocks and Carotenoids. It is also involved in developing alternate, non-infringing processes for APIs, for the inventors to manage late life cycle and generic drug manufacturers. The Company develops carotenoids, such as Apocarotenal, Betacarotene, Lycopene, Astaxanthin and Canthaxanthin. It manufactures tert-butoxycarbonyl (BOC), Fluorenylmethyloxycarbonyl (FMOC) and Carboxybenzyl (CBZ) protected amino acids. It manufactures ligands, such as binol and binap. The Company exports its products to European and the American countries. Its manufacturing and research and development facilities are located in the State of Andhra Pradesh and Telangana in India.</v>
    <v>11847</v>
    <v>National Stock Exchange of India</v>
    <v>XNSE</v>
    <v>XNSE</v>
    <v>1-72/23(P)/Divis/303,, Divi Towers, Cyber Hills, Gachibowli,, HYDERABAD, TELANGANA, 500032 IN</v>
    <v>1727.8</v>
    <v>Pharmaceuticals</v>
    <v>Stock</v>
    <v>43777.463923611111</v>
    <v>1695</v>
    <v>456075000000</v>
    <v>Divi's Laboratories Ltd</v>
    <v>Divi's Laboratories Ltd</v>
    <v>1714</v>
    <v>33.6</v>
    <v>1718</v>
    <v>1699.95</v>
    <v>DIVISLAB</v>
    <v>Divi's Laboratories Ltd (XNSE:DIVISLAB)</v>
    <v>469867</v>
    <v>1990</v>
  </rv>
  <rv s="2">
    <v>12</v>
  </rv>
  <rv s="0">
    <v>https://www.bing.com/financeapi/forcetrigger?t=bgvh2w&amp;q=XNSE%3aHDFCAMC&amp;form=skydnc</v>
    <v>Bing</v>
  </rv>
  <rv s="7">
    <v>en-US</v>
    <v>bgvh2w</v>
    <v>268435456</v>
    <v>268435457</v>
    <v>1</v>
    <v>12</v>
    <v>HDFC Asset Management Company Ltd (XNSE:HDFCAMC)</v>
    <v>2</v>
    <v>13</v>
    <v>Finance</v>
    <v>9</v>
    <v>3248.9</v>
    <v>1305.0999999999999</v>
    <v>174.8</v>
    <v>5.7942999999999995E-2</v>
    <v>INR</v>
    <v>14</v>
    <v>1</v>
    <v>HDFC Asset Management Company Ltd is an India-based asset management company for the Housing Development Finance Corporation Limited (HDFC) Mutual Fund. The Company offers portfolio management / investment advisory services. It offers management and/or advisory services to: Category I foreign portfolio investors and/or Category II foreign portfolio investors. Its services also include India focused research, statistical and analytical information, investment management and investment advice.</v>
    <v>1150</v>
    <v>National Stock Exchange of India</v>
    <v>XNSE</v>
    <v>XNSE</v>
    <v>HDFC House, 2nd Floor,, H. T. Parekh Marg,, 165-166, Backbay Reclamation,Churchgate, MUMBAI, MAHARASHTRA, 400020 IN</v>
    <v>3248.9</v>
    <v>Investment Banking &amp; Investment Services</v>
    <v>Stock</v>
    <v>43777.463923611111</v>
    <v>3018</v>
    <v>641448400000</v>
    <v>HDFC Asset Management Company Ltd</v>
    <v>HDFC Asset Management Company Ltd</v>
    <v>3035</v>
    <v>54.37</v>
    <v>3016.75</v>
    <v>3191.55</v>
    <v>212628900</v>
    <v>HDFCAMC</v>
    <v>HDFC Asset Management Company Ltd (XNSE:HDFCAMC)</v>
    <v>2262911</v>
    <v>1999</v>
  </rv>
  <rv s="2">
    <v>15</v>
  </rv>
</rvData>
</file>

<file path=xl/richData/rdrichvaluestructure.xml><?xml version="1.0" encoding="utf-8"?>
<rvStructures xmlns="http://schemas.microsoft.com/office/spreadsheetml/2017/richdata" count="8">
  <s t="_hyperlink">
    <k n="Address" t="s"/>
    <k n="Text" t="s"/>
  </s>
  <s t="_linkedentitycore">
    <k n="%EntityCulture" t="s"/>
    <k n="%EntityId" t="s"/>
    <k n="%EntityServiceId"/>
    <k n="%EntitySubDomainId"/>
    <k n="%IsRefreshable" t="b"/>
    <k n="_Display" t="spb"/>
    <k n="_DisplayString" t="s"/>
    <k n="_Flags" t="spb"/>
    <k n="_Format" t="spb"/>
    <k n="_Icon" t="s"/>
    <k n="_SubLabel" t="spb"/>
    <k n="52 week high"/>
    <k n="52 week low"/>
    <k n="Beta"/>
    <k n="Change"/>
    <k n="Change (%)"/>
    <k n="Currency" t="s"/>
    <k n="DataProviderExternalLink" t="r"/>
    <k n="DataProviderExternalLinkLogo" t="r"/>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Year incorporated"/>
  </s>
  <s t="_linkedentity">
    <k n="%cvi" t="r"/>
  </s>
  <s t="_sourceattribution">
    <k n="License" t="r"/>
    <k n="Source" t="r"/>
  </s>
  <s t="_imageurl">
    <k n="Address" t="s"/>
    <k n="Attribution" t="r"/>
    <k n="More Images Address" t="s"/>
    <k n="Text" t="s"/>
  </s>
  <s t="_linkedentitycore">
    <k n="%EntityCulture" t="s"/>
    <k n="%EntityId" t="s"/>
    <k n="%EntityServiceId"/>
    <k n="%EntitySubDomainId"/>
    <k n="%IsRefreshable" t="b"/>
    <k n="_Display" t="spb"/>
    <k n="_DisplayString" t="s"/>
    <k n="_Flags" t="spb"/>
    <k n="_Format" t="spb"/>
    <k n="_Icon" t="s"/>
    <k n="_SubLabel" t="spb"/>
    <k n="52 week high"/>
    <k n="52 week low"/>
    <k n="Beta"/>
    <k n="Change"/>
    <k n="Change (%)"/>
    <k n="Currency" t="s"/>
    <k n="DataProviderExternalLink" t="r"/>
    <k n="DataProviderExternalLinkLogo" t="r"/>
    <k n="Description" t="s"/>
    <k n="Employees"/>
    <k n="Exchange" t="s"/>
    <k n="Exchange abbreviation" t="s"/>
    <k n="ExchangeID" t="s"/>
    <k n="Headquarters" t="s"/>
    <k n="High"/>
    <k n="Image" t="r"/>
    <k n="Industry" t="s"/>
    <k n="Instrument type" t="s"/>
    <k n="Last trade time"/>
    <k n="Low"/>
    <k n="Market cap"/>
    <k n="Name" t="s"/>
    <k n="Official name" t="s"/>
    <k n="Open"/>
    <k n="P/E"/>
    <k n="Previous close"/>
    <k n="Price"/>
    <k n="Shares outstanding"/>
    <k n="Ticker symbol" t="s"/>
    <k n="UniqueName" t="s"/>
    <k n="Volume"/>
    <k n="Year incorporated"/>
  </s>
  <s t="_linkedentitycore">
    <k n="%EntityCulture" t="s"/>
    <k n="%EntityId" t="s"/>
    <k n="%EntityServiceId"/>
    <k n="%EntitySubDomainId"/>
    <k n="%IsRefreshable" t="b"/>
    <k n="_Display" t="spb"/>
    <k n="_DisplayString" t="s"/>
    <k n="_Flags" t="spb"/>
    <k n="_Format" t="spb"/>
    <k n="_Icon" t="s"/>
    <k n="_SubLabel" t="spb"/>
    <k n="52 week high"/>
    <k n="52 week low"/>
    <k n="Beta"/>
    <k n="Change"/>
    <k n="Change (%)"/>
    <k n="Currency" t="s"/>
    <k n="DataProviderExternalLink" t="r"/>
    <k n="DataProviderExternalLinkLogo" t="r"/>
    <k n="Description" t="s"/>
    <k n="Employees"/>
    <k n="Exchange" t="s"/>
    <k n="Exchange abbreviation" t="s"/>
    <k n="ExchangeID" t="s"/>
    <k n="Headquarters" t="s"/>
    <k n="High"/>
    <k n="Industry" t="s"/>
    <k n="Instrument type" t="s"/>
    <k n="Last trade time"/>
    <k n="Low"/>
    <k n="Market cap"/>
    <k n="Name" t="s"/>
    <k n="Official name" t="s"/>
    <k n="Open"/>
    <k n="P/E"/>
    <k n="Previous close"/>
    <k n="Price"/>
    <k n="Ticker symbol" t="s"/>
    <k n="UniqueName" t="s"/>
    <k n="Volume"/>
    <k n="Year incorporated"/>
  </s>
  <s t="_linkedentitycore">
    <k n="%EntityCulture" t="s"/>
    <k n="%EntityId" t="s"/>
    <k n="%EntityServiceId"/>
    <k n="%EntitySubDomainId"/>
    <k n="%IsRefreshable" t="b"/>
    <k n="_Display" t="spb"/>
    <k n="_DisplayString" t="s"/>
    <k n="_Flags" t="spb"/>
    <k n="_Format" t="spb"/>
    <k n="_Icon" t="s"/>
    <k n="_SubLabel" t="spb"/>
    <k n="52 week high"/>
    <k n="52 week low"/>
    <k n="Change"/>
    <k n="Change (%)"/>
    <k n="Currency" t="s"/>
    <k n="DataProviderExternalLink" t="r"/>
    <k n="DataProviderExternalLinkLogo" t="r"/>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Year incorporated"/>
  </s>
</rvStructures>
</file>

<file path=xl/richData/rdsupportingpropertybag.xml><?xml version="1.0" encoding="utf-8"?>
<supportingPropertyBags xmlns="http://schemas.microsoft.com/office/spreadsheetml/2017/richdata2">
  <spbArrays count="4">
    <a count="42">
      <v t="s">%EntityServiceId</v>
      <v t="s">_Format</v>
      <v t="s">%EntitySubDomainId</v>
      <v t="s">%EntityCulture</v>
      <v t="s">%IsRefreshable</v>
      <v t="s">%EntityId</v>
      <v t="s">_Icon</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Beta</v>
      <v t="s">P/E</v>
      <v t="s">Shares outstanding</v>
      <v t="s">Description</v>
      <v t="s">Employees</v>
      <v t="s">Headquarters</v>
      <v t="s">Industry</v>
      <v t="s">Instrument type</v>
      <v t="s">Year incorporated</v>
      <v t="s">_Flags</v>
      <v t="s">UniqueName</v>
      <v t="s">_DisplayString</v>
      <v t="s">DataProviderExternalLink</v>
      <v t="s">DataProviderExternalLinkLogo</v>
      <v t="s">ExchangeID</v>
      <v t="s">_Display</v>
    </a>
    <a count="43">
      <v t="s">%EntityServiceId</v>
      <v t="s">_Format</v>
      <v t="s">%EntitySubDomainId</v>
      <v t="s">%EntityCulture</v>
      <v t="s">%IsRefreshable</v>
      <v t="s">%EntityId</v>
      <v t="s">_Icon</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Beta</v>
      <v t="s">P/E</v>
      <v t="s">Shares outstanding</v>
      <v t="s">Description</v>
      <v t="s">Employees</v>
      <v t="s">Headquarters</v>
      <v t="s">Industry</v>
      <v t="s">Instrument type</v>
      <v t="s">Year incorporated</v>
      <v t="s">_Flags</v>
      <v t="s">UniqueName</v>
      <v t="s">_DisplayString</v>
      <v t="s">DataProviderExternalLink</v>
      <v t="s">DataProviderExternalLinkLogo</v>
      <v t="s">Image</v>
      <v t="s">ExchangeID</v>
      <v t="s">_Display</v>
    </a>
    <a count="41">
      <v t="s">%EntityServiceId</v>
      <v t="s">_Format</v>
      <v t="s">%EntitySubDomainId</v>
      <v t="s">%EntityCulture</v>
      <v t="s">%IsRefreshable</v>
      <v t="s">%EntityId</v>
      <v t="s">_Icon</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Beta</v>
      <v t="s">P/E</v>
      <v t="s">Description</v>
      <v t="s">Employees</v>
      <v t="s">Headquarters</v>
      <v t="s">Industry</v>
      <v t="s">Instrument type</v>
      <v t="s">Year incorporated</v>
      <v t="s">_Flags</v>
      <v t="s">UniqueName</v>
      <v t="s">_DisplayString</v>
      <v t="s">DataProviderExternalLink</v>
      <v t="s">DataProviderExternalLinkLogo</v>
      <v t="s">ExchangeID</v>
      <v t="s">_Display</v>
    </a>
    <a count="41">
      <v t="s">%EntityServiceId</v>
      <v t="s">_Format</v>
      <v t="s">%EntitySubDomainId</v>
      <v t="s">%EntityCulture</v>
      <v t="s">%IsRefreshable</v>
      <v t="s">%EntityId</v>
      <v t="s">_Icon</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P/E</v>
      <v t="s">Shares outstanding</v>
      <v t="s">Description</v>
      <v t="s">Employees</v>
      <v t="s">Headquarters</v>
      <v t="s">Industry</v>
      <v t="s">Instrument type</v>
      <v t="s">Year incorporated</v>
      <v t="s">_Flags</v>
      <v t="s">UniqueName</v>
      <v t="s">_DisplayString</v>
      <v t="s">DataProviderExternalLink</v>
      <v t="s">DataProviderExternalLinkLogo</v>
      <v t="s">ExchangeID</v>
      <v t="s">_Display</v>
    </a>
  </spbArrays>
  <spbData count="14">
    <spb s="0">
      <v>0</v>
    </spb>
    <spb s="1">
      <v>0</v>
      <v>0</v>
      <v>0</v>
    </spb>
    <spb s="2">
      <v>1</v>
      <v>1</v>
      <v>1</v>
      <v>1</v>
    </spb>
    <spb s="3">
      <v>1</v>
      <v>2</v>
      <v>2</v>
      <v>1</v>
      <v>3</v>
      <v>1</v>
      <v>1</v>
      <v>1</v>
      <v>4</v>
      <v>4</v>
      <v>5</v>
      <v>6</v>
      <v>1</v>
      <v>1</v>
      <v>1</v>
      <v>7</v>
      <v>8</v>
      <v>9</v>
      <v>10</v>
      <v>9</v>
      <v>4</v>
    </spb>
    <spb s="4">
      <v>Delayed 15 minutes</v>
      <v>from previous close</v>
      <v>from previous close</v>
      <v>GMT</v>
    </spb>
    <spb s="0">
      <v>1</v>
    </spb>
    <spb s="5">
      <v>0</v>
      <v>0</v>
    </spb>
    <spb s="6">
      <v>6</v>
      <v>1</v>
      <v>1</v>
      <v>1</v>
      <v>1</v>
    </spb>
    <spb s="7">
      <v>1</v>
      <v>2</v>
      <v>2</v>
      <v>1</v>
      <v>3</v>
      <v>1</v>
      <v>11</v>
      <v>1</v>
      <v>1</v>
      <v>4</v>
      <v>4</v>
      <v>5</v>
      <v>6</v>
      <v>1</v>
      <v>1</v>
      <v>1</v>
      <v>7</v>
      <v>8</v>
      <v>9</v>
      <v>10</v>
      <v>9</v>
      <v>4</v>
    </spb>
    <spb s="4">
      <v>Delayed 5 minutes</v>
      <v>from previous close</v>
      <v>from previous close</v>
      <v>GMT</v>
    </spb>
    <spb s="0">
      <v>2</v>
    </spb>
    <spb s="8">
      <v>1</v>
      <v>2</v>
      <v>2</v>
      <v>1</v>
      <v>3</v>
      <v>1</v>
      <v>1</v>
      <v>1</v>
      <v>4</v>
      <v>4</v>
      <v>5</v>
      <v>6</v>
      <v>1</v>
      <v>1</v>
      <v>1</v>
      <v>7</v>
      <v>8</v>
      <v>9</v>
      <v>10</v>
      <v>9</v>
    </spb>
    <spb s="0">
      <v>3</v>
    </spb>
    <spb s="9">
      <v>1</v>
      <v>2</v>
      <v>1</v>
      <v>3</v>
      <v>1</v>
      <v>1</v>
      <v>1</v>
      <v>4</v>
      <v>4</v>
      <v>5</v>
      <v>6</v>
      <v>1</v>
      <v>1</v>
      <v>1</v>
      <v>7</v>
      <v>8</v>
      <v>9</v>
      <v>10</v>
      <v>9</v>
      <v>4</v>
    </spb>
  </spbData>
</supportingPropertyBags>
</file>

<file path=xl/richData/rdsupportingpropertybagstructure.xml><?xml version="1.0" encoding="utf-8"?>
<spbStructures xmlns="http://schemas.microsoft.com/office/spreadsheetml/2017/richdata2" count="10">
  <s>
    <k n="^Order" t="spba"/>
  </s>
  <s>
    <k n="ShowInCardView" t="b"/>
    <k n="ShowInDotNotation" t="b"/>
    <k n="ShowInAutoComplete" t="b"/>
  </s>
  <s>
    <k n="ExchangeID" t="spb"/>
    <k n="UniqueName" t="spb"/>
    <k n="DataProviderExternalLink" t="spb"/>
    <k n="DataProviderExternalLinkLogo" t="spb"/>
  </s>
  <s>
    <k n="Low" t="i"/>
    <k n="P/E" t="i"/>
    <k n="Beta" t="i"/>
    <k n="High" t="i"/>
    <k n="Name" t="i"/>
    <k n="Open" t="i"/>
    <k n="Price" t="i"/>
    <k n="Change" t="i"/>
    <k n="Volume" t="i"/>
    <k n="Employees" t="i"/>
    <k n="Change (%)" t="i"/>
    <k n="Market cap" t="i"/>
    <k n="52 week low" t="i"/>
    <k n="52 week high" t="i"/>
    <k n="Previous close" t="i"/>
    <k n="_DisplayString" t="i"/>
    <k n="Last trade time" t="i"/>
    <k n="%EntityServiceId" t="i"/>
    <k n="Year incorporated" t="i"/>
    <k n="%EntitySubDomainId" t="i"/>
    <k n="Shares outstanding" t="i"/>
  </s>
  <s>
    <k n="Price" t="s"/>
    <k n="Change" t="s"/>
    <k n="Change (%)" t="s"/>
    <k n="Last trade time" t="s"/>
  </s>
  <s>
    <k n="ShowInDotNotation" t="b"/>
    <k n="ShowInAutoComplete" t="b"/>
  </s>
  <s>
    <k n="Image" t="spb"/>
    <k n="ExchangeID" t="spb"/>
    <k n="UniqueName" t="spb"/>
    <k n="DataProviderExternalLink" t="spb"/>
    <k n="DataProviderExternalLinkLogo" t="spb"/>
  </s>
  <s>
    <k n="Low" t="i"/>
    <k n="P/E" t="i"/>
    <k n="Beta" t="i"/>
    <k n="High" t="i"/>
    <k n="Name" t="i"/>
    <k n="Open" t="i"/>
    <k n="Image" t="i"/>
    <k n="Price" t="i"/>
    <k n="Change" t="i"/>
    <k n="Volume" t="i"/>
    <k n="Employees" t="i"/>
    <k n="Change (%)" t="i"/>
    <k n="Market cap" t="i"/>
    <k n="52 week low" t="i"/>
    <k n="52 week high" t="i"/>
    <k n="Previous close" t="i"/>
    <k n="_DisplayString" t="i"/>
    <k n="Last trade time" t="i"/>
    <k n="%EntityServiceId" t="i"/>
    <k n="Year incorporated" t="i"/>
    <k n="%EntitySubDomainId" t="i"/>
    <k n="Shares outstanding" t="i"/>
  </s>
  <s>
    <k n="Low" t="i"/>
    <k n="P/E" t="i"/>
    <k n="Beta" t="i"/>
    <k n="High" t="i"/>
    <k n="Name" t="i"/>
    <k n="Open" t="i"/>
    <k n="Price" t="i"/>
    <k n="Change" t="i"/>
    <k n="Volume" t="i"/>
    <k n="Employees" t="i"/>
    <k n="Change (%)" t="i"/>
    <k n="Market cap" t="i"/>
    <k n="52 week low" t="i"/>
    <k n="52 week high" t="i"/>
    <k n="Previous close" t="i"/>
    <k n="_DisplayString" t="i"/>
    <k n="Last trade time" t="i"/>
    <k n="%EntityServiceId" t="i"/>
    <k n="Year incorporated" t="i"/>
    <k n="%EntitySubDomainId" t="i"/>
  </s>
  <s>
    <k n="Low" t="i"/>
    <k n="P/E" t="i"/>
    <k n="High" t="i"/>
    <k n="Name" t="i"/>
    <k n="Open" t="i"/>
    <k n="Price" t="i"/>
    <k n="Change" t="i"/>
    <k n="Volume" t="i"/>
    <k n="Employees" t="i"/>
    <k n="Change (%)" t="i"/>
    <k n="Market cap" t="i"/>
    <k n="52 week low" t="i"/>
    <k n="52 week high" t="i"/>
    <k n="Previous close" t="i"/>
    <k n="_DisplayString" t="i"/>
    <k n="Last trade time" t="i"/>
    <k n="%EntityServiceId" t="i"/>
    <k n="Year incorporated" t="i"/>
    <k n="%EntitySubDomainId" t="i"/>
    <k n="Shares outstanding"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165" formatCode="_ [$₹-4009]\ * #,##0.00_ ;_ [$₹-4009]\ * \-#,##0.00_ ;_ [$₹-4009]\ * &quot;-&quot;??_ ;_ @_ "/>
    </x:dxf>
    <x:dxf>
      <x:numFmt numFmtId="4" formatCode="#,##0.00"/>
    </x:dxf>
    <x:dxf>
      <x:numFmt numFmtId="3" formatCode="#,##0"/>
    </x:dxf>
    <x:dxf>
      <x:numFmt numFmtId="14" formatCode="0.00%"/>
    </x:dxf>
    <x:dxf>
      <x:numFmt numFmtId="164" formatCode="_ [$₹-4009]\ * #,##0_ ;_ [$₹-4009]\ * \-#,##0_ ;_ [$₹-4009]\ * &quot;-&quot;_ ;_ @_ "/>
    </x:dxf>
    <x:dxf>
      <x:numFmt numFmtId="27" formatCode="dd/mm/yyyy\ hh:mm"/>
    </x:dxf>
    <x:dxf>
      <x:numFmt numFmtId="2" formatCode="0.00"/>
    </x:dxf>
    <x:dxf>
      <x:numFmt numFmtId="1" formatCode="0"/>
    </x:dxf>
  </dxfs>
  <richProperties>
    <rPr n="IsTitleField" t="b"/>
    <rPr n="ShouldShowInCell" t="b"/>
    <rPr n="IsHeroField" t="b"/>
  </richProperties>
  <richStyles>
    <rSty dxfid="0"/>
    <rSty dxfid="1"/>
    <rSty>
      <rpv i="0">1</rpv>
    </rSty>
    <rSty dxfid="2"/>
    <rSty dxfid="3"/>
    <rSty dxfid="4"/>
    <rSty>
      <rpv i="1">1</rpv>
    </rSty>
    <rSty dxfid="5"/>
    <rSty dxfid="6"/>
    <rSty dxfid="7"/>
    <rSty>
      <rpv i="2">1</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92B347-7EB8-4491-8A4F-963ABA846B4C}" name="TablePortfolio" displayName="TablePortfolio" ref="A1:K11" totalsRowCount="1" headerRowDxfId="36" dataDxfId="35" totalsRowDxfId="33" tableBorderDxfId="34">
  <autoFilter ref="A1:K10" xr:uid="{B597E52B-BEDF-4903-A8A4-BC84CB30F6FC}"/>
  <tableColumns count="11">
    <tableColumn id="1" xr3:uid="{72C762AF-E8CC-4201-A050-DFD5593CC7F5}" name="Company" totalsRowLabel="Total" dataDxfId="32" totalsRowDxfId="31" dataCellStyle="40% - Accent3"/>
    <tableColumn id="2" xr3:uid="{1B07541E-D4DC-4126-9BBE-D442BD167F81}" name="Category" dataDxfId="30" totalsRowDxfId="29" dataCellStyle="40% - Accent3"/>
    <tableColumn id="3" xr3:uid="{4C5B53E7-9F1F-4F92-9B5F-00DB6CD68067}" name="Shares" dataDxfId="28" totalsRowDxfId="27" dataCellStyle="Comma"/>
    <tableColumn id="9" xr3:uid="{D8FF3D4D-B194-467C-B379-B88C301C7395}" name="Buy Price" dataDxfId="26" totalsRowDxfId="25" dataCellStyle="Comma"/>
    <tableColumn id="4" xr3:uid="{C396AAD6-783B-48D1-B82A-7EADA5DBEFC1}" name="Price" dataDxfId="24" totalsRowDxfId="23">
      <calculatedColumnFormula>_FV(TablePortfolio[[#This Row],[Company]],"Price")</calculatedColumnFormula>
    </tableColumn>
    <tableColumn id="6" xr3:uid="{5D3A4677-8380-48E2-9472-7D3DD8B0037A}" name="Change (%)" dataDxfId="22" totalsRowDxfId="21">
      <calculatedColumnFormula>_FV(TablePortfolio[[#This Row],[Company]],"Change (%)",TRUE)</calculatedColumnFormula>
    </tableColumn>
    <tableColumn id="5" xr3:uid="{361C4FAC-AB31-46CA-8F1D-70F51D3BB17C}" name="Invesment %" dataDxfId="20" totalsRowDxfId="19">
      <calculatedColumnFormula>IFERROR(I2/SUBTOTAL(109,TablePortfolio[Value]),"")</calculatedColumnFormula>
    </tableColumn>
    <tableColumn id="8" xr3:uid="{EF87666E-A29F-46DF-9601-E05C28529838}" name="Portfolio %" dataDxfId="18" totalsRowDxfId="17" dataCellStyle="Percent">
      <calculatedColumnFormula>IFERROR(J2/SUBTOTAL(109,TablePortfolio[Value]),"")</calculatedColumnFormula>
    </tableColumn>
    <tableColumn id="10" xr3:uid="{EDA4D9CD-5C4F-4750-B677-431CDB2F672D}" name="Investment" totalsRowFunction="custom" dataDxfId="16" totalsRowDxfId="15" dataCellStyle="Percent">
      <calculatedColumnFormula>C2 * D2</calculatedColumnFormula>
      <totalsRowFormula>IFERROR(SUBTOTAL(109,TablePortfolio[Investment]), "")</totalsRowFormula>
    </tableColumn>
    <tableColumn id="7" xr3:uid="{A7A9D47B-CF2E-4288-A886-E891DB515468}" name="Value" totalsRowFunction="custom" dataDxfId="14" totalsRowDxfId="13">
      <calculatedColumnFormula>C2 * E2</calculatedColumnFormula>
      <totalsRowFormula>IFERROR(SUBTOTAL(109,TablePortfolio[Value]), "")</totalsRowFormula>
    </tableColumn>
    <tableColumn id="11" xr3:uid="{6ECFC14F-E1EB-4826-A876-3BA48CE04233}" name="Profit (%)" dataDxfId="12" totalsRowDxfId="11">
      <calculatedColumnFormula>(((J2 - I2 ) / I2) )</calculatedColumnFormula>
    </tableColumn>
  </tableColumns>
  <tableStyleInfo name="Investment Tracker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05510B8-2C14-496C-81C2-4C6A909BA7D8}" name="TableAssetAllocation" displayName="TableAssetAllocation" ref="A17:I21" totalsRowShown="0" headerRowDxfId="10" dataDxfId="9" dataCellStyle="Percent">
  <autoFilter ref="A17:I21" xr:uid="{5CF2724D-0E33-41F2-B731-47C24DE5616F}"/>
  <tableColumns count="9">
    <tableColumn id="1" xr3:uid="{3D7A1027-E7D1-4C76-91EF-FF6714C4D34D}" name="Category" dataDxfId="8" dataCellStyle="40% - Accent3"/>
    <tableColumn id="2" xr3:uid="{B0F77FDA-194E-4903-81E8-D046E32D61A3}" name="My Target" dataDxfId="7" dataCellStyle="40% - Accent3"/>
    <tableColumn id="7" xr3:uid="{406B5228-A84B-45C5-9B25-20A4B54DDFF1}" name="Invested" dataDxfId="6" dataCellStyle="Percent">
      <calculatedColumnFormula>IFERROR(G18/SUBTOTAL(109,TableAssetAllocation[Investment]),"")</calculatedColumnFormula>
    </tableColumn>
    <tableColumn id="3" xr3:uid="{B94F1415-FA42-4D0A-849A-04AEEE37B421}" name="Actual" dataDxfId="5" dataCellStyle="Percent">
      <calculatedColumnFormula>IFERROR(H18/SUBTOTAL(109,TableAssetAllocation[Value]),"")</calculatedColumnFormula>
    </tableColumn>
    <tableColumn id="4" xr3:uid="{9A3445B6-E20A-4978-94F6-8E50D91A513F}" name="Difference" dataDxfId="4" dataCellStyle="Percent">
      <calculatedColumnFormula>C18 - B18</calculatedColumnFormula>
    </tableColumn>
    <tableColumn id="5" xr3:uid="{791A9A26-4B60-4C50-9E9F-D3ADECA7C3F3}" name="Threshold" dataDxfId="3" dataCellStyle="Percent">
      <calculatedColumnFormula>D18 - B18</calculatedColumnFormula>
    </tableColumn>
    <tableColumn id="8" xr3:uid="{6118DFAE-ACA8-4091-AB52-27DDFA858BF3}" name="Investment" dataDxfId="2" dataCellStyle="Percent">
      <calculatedColumnFormula>SUMIF(TablePortfolio[Category], A18, TablePortfolio[Investment])</calculatedColumnFormula>
    </tableColumn>
    <tableColumn id="6" xr3:uid="{CEE31FE6-873D-4F1F-B13B-F2E9E03CAFA7}" name="Value" dataDxfId="1">
      <calculatedColumnFormula>SUMIF(TablePortfolio[Category], A18, TablePortfolio[Value])</calculatedColumnFormula>
    </tableColumn>
    <tableColumn id="9" xr3:uid="{BDD39E49-5C80-4924-ABFD-90075843BC6A}" name="Profit" dataDxfId="0" dataCellStyle="Percent">
      <calculatedColumnFormula>(((H18 - G18 ) / G18) )</calculatedColumnFormula>
    </tableColumn>
  </tableColumns>
  <tableStyleInfo name="Investment Tracker Table" showFirstColumn="0" showLastColumn="0" showRowStripes="1" showColumnStripes="0"/>
</table>
</file>

<file path=xl/theme/theme1.xml><?xml version="1.0" encoding="utf-8"?>
<a:theme xmlns:a="http://schemas.openxmlformats.org/drawingml/2006/main" name="PER_Templates">
  <a:themeElements>
    <a:clrScheme name="PER_Excel_Templates">
      <a:dk1>
        <a:srgbClr val="000000"/>
      </a:dk1>
      <a:lt1>
        <a:srgbClr val="FFFFFF"/>
      </a:lt1>
      <a:dk2>
        <a:srgbClr val="7E8083"/>
      </a:dk2>
      <a:lt2>
        <a:srgbClr val="E4E5E6"/>
      </a:lt2>
      <a:accent1>
        <a:srgbClr val="7AC143"/>
      </a:accent1>
      <a:accent2>
        <a:srgbClr val="00853E"/>
      </a:accent2>
      <a:accent3>
        <a:srgbClr val="00ADEE"/>
      </a:accent3>
      <a:accent4>
        <a:srgbClr val="FFC000"/>
      </a:accent4>
      <a:accent5>
        <a:srgbClr val="F47920"/>
      </a:accent5>
      <a:accent6>
        <a:srgbClr val="E51937"/>
      </a:accent6>
      <a:hlink>
        <a:srgbClr val="F47920"/>
      </a:hlink>
      <a:folHlink>
        <a:srgbClr val="954F72"/>
      </a:folHlink>
    </a:clrScheme>
    <a:fontScheme name="PER_Excel_Templates">
      <a:majorFont>
        <a:latin typeface="Rockwell"/>
        <a:ea typeface=""/>
        <a:cs typeface=""/>
      </a:majorFont>
      <a:minorFont>
        <a:latin typeface="Lucida San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00FFD-2F01-4CBC-8B6F-297D6BF14D5F}">
  <sheetPr>
    <tabColor theme="4" tint="-0.249977111117893"/>
  </sheetPr>
  <dimension ref="A1:K494"/>
  <sheetViews>
    <sheetView showGridLines="0" topLeftCell="B1" zoomScaleNormal="100" workbookViewId="0">
      <selection activeCell="H4" sqref="H4"/>
    </sheetView>
  </sheetViews>
  <sheetFormatPr defaultRowHeight="14" x14ac:dyDescent="0.3"/>
  <cols>
    <col min="1" max="1" width="27.5703125" customWidth="1"/>
    <col min="2" max="2" width="15.140625" bestFit="1" customWidth="1"/>
    <col min="3" max="3" width="10.85546875" style="7" bestFit="1" customWidth="1"/>
    <col min="4" max="4" width="12.92578125" style="7" bestFit="1" customWidth="1"/>
    <col min="5" max="5" width="10.140625" bestFit="1" customWidth="1"/>
    <col min="6" max="6" width="13.28515625" bestFit="1" customWidth="1"/>
    <col min="7" max="7" width="14.35546875" bestFit="1" customWidth="1"/>
    <col min="8" max="8" width="13.0703125" bestFit="1" customWidth="1"/>
    <col min="9" max="9" width="13.28515625" bestFit="1" customWidth="1"/>
    <col min="10" max="10" width="13.2109375" bestFit="1" customWidth="1"/>
    <col min="11" max="11" width="11.7109375" bestFit="1" customWidth="1"/>
  </cols>
  <sheetData>
    <row r="1" spans="1:11" ht="18.649999999999999" customHeight="1" x14ac:dyDescent="0.3">
      <c r="A1" s="2" t="s">
        <v>0</v>
      </c>
      <c r="B1" s="2" t="s">
        <v>1</v>
      </c>
      <c r="C1" s="8" t="s">
        <v>2</v>
      </c>
      <c r="D1" s="8" t="s">
        <v>13</v>
      </c>
      <c r="E1" s="2" t="s">
        <v>3</v>
      </c>
      <c r="F1" s="2" t="s">
        <v>4</v>
      </c>
      <c r="G1" s="2" t="s">
        <v>19</v>
      </c>
      <c r="H1" s="2" t="s">
        <v>6</v>
      </c>
      <c r="I1" s="2" t="s">
        <v>14</v>
      </c>
      <c r="J1" s="2" t="s">
        <v>5</v>
      </c>
      <c r="K1" s="2" t="s">
        <v>15</v>
      </c>
    </row>
    <row r="2" spans="1:11" ht="18.649999999999999" customHeight="1" x14ac:dyDescent="0.3">
      <c r="A2" s="10" t="e" vm="1">
        <v>#VALUE!</v>
      </c>
      <c r="B2" s="23" t="s">
        <v>22</v>
      </c>
      <c r="C2" s="9">
        <v>250</v>
      </c>
      <c r="D2" s="15">
        <v>650</v>
      </c>
      <c r="E2" s="14">
        <f>_FV(TablePortfolio[[#This Row],[Company]],"Price")</f>
        <v>1793.2</v>
      </c>
      <c r="F2" s="3">
        <f>_FV(TablePortfolio[[#This Row],[Company]],"Change (%)",TRUE)</f>
        <v>-1.8311999999999998E-2</v>
      </c>
      <c r="G2" s="4">
        <f>IFERROR(I2/SUBTOTAL(109,TablePortfolio[Investment]),"")</f>
        <v>0.20061728395061729</v>
      </c>
      <c r="H2" s="4">
        <f>IFERROR(J2/SUBTOTAL(109,TablePortfolio[Value]),"")</f>
        <v>0.19404196379297284</v>
      </c>
      <c r="I2" s="15">
        <f t="shared" ref="I2" si="0">C2 * D2</f>
        <v>162500</v>
      </c>
      <c r="J2" s="15">
        <f t="shared" ref="J2" si="1">C2 * E2</f>
        <v>448300</v>
      </c>
      <c r="K2" s="3">
        <f t="shared" ref="K2" si="2">(((J2 - I2 ) / I2) )</f>
        <v>1.7587692307692309</v>
      </c>
    </row>
    <row r="3" spans="1:11" ht="18.649999999999999" customHeight="1" x14ac:dyDescent="0.3">
      <c r="A3" s="10" t="e" vm="2">
        <v>#VALUE!</v>
      </c>
      <c r="B3" s="23" t="s">
        <v>16</v>
      </c>
      <c r="C3" s="9">
        <v>100</v>
      </c>
      <c r="D3" s="15">
        <v>2000</v>
      </c>
      <c r="E3" s="14">
        <f>_FV(TablePortfolio[[#This Row],[Company]],"Price")</f>
        <v>7137.3</v>
      </c>
      <c r="F3" s="3">
        <f>_FV(TablePortfolio[[#This Row],[Company]],"Change (%)",TRUE)</f>
        <v>-8.7840000000000001E-3</v>
      </c>
      <c r="G3" s="4">
        <f>IFERROR(I3/SUBTOTAL(109,TablePortfolio[Investment]),"")</f>
        <v>0.24691358024691357</v>
      </c>
      <c r="H3" s="4">
        <f>IFERROR(J3/SUBTOTAL(109,TablePortfolio[Value]),"")</f>
        <v>0.30893056171750727</v>
      </c>
      <c r="I3" s="15">
        <f t="shared" ref="I3:I4" si="3">C3 * D3</f>
        <v>200000</v>
      </c>
      <c r="J3" s="15">
        <f t="shared" ref="J3:J4" si="4">C3 * E3</f>
        <v>713730</v>
      </c>
      <c r="K3" s="3">
        <f t="shared" ref="K3:K4" si="5">(((J3 - I3 ) / I3) )</f>
        <v>2.5686499999999999</v>
      </c>
    </row>
    <row r="4" spans="1:11" ht="18.649999999999999" customHeight="1" x14ac:dyDescent="0.3">
      <c r="A4" s="10" t="e" vm="3">
        <v>#VALUE!</v>
      </c>
      <c r="B4" s="23" t="s">
        <v>18</v>
      </c>
      <c r="C4" s="9">
        <v>300</v>
      </c>
      <c r="D4" s="15">
        <v>505</v>
      </c>
      <c r="E4" s="14">
        <f>_FV(TablePortfolio[[#This Row],[Company]],"Price")</f>
        <v>1699.95</v>
      </c>
      <c r="F4" s="3">
        <f>_FV(TablePortfolio[[#This Row],[Company]],"Change (%)",TRUE)</f>
        <v>-1.0506E-2</v>
      </c>
      <c r="G4" s="4">
        <f>IFERROR(I4/SUBTOTAL(109,TablePortfolio[Investment]),"")</f>
        <v>0.18703703703703703</v>
      </c>
      <c r="H4" s="4">
        <f>IFERROR(J4/SUBTOTAL(109,TablePortfolio[Value]),"")</f>
        <v>0.2207416705441875</v>
      </c>
      <c r="I4" s="15">
        <f t="shared" si="3"/>
        <v>151500</v>
      </c>
      <c r="J4" s="15">
        <f t="shared" si="4"/>
        <v>509985</v>
      </c>
      <c r="K4" s="3">
        <f t="shared" si="5"/>
        <v>2.3662376237623763</v>
      </c>
    </row>
    <row r="5" spans="1:11" ht="18.649999999999999" customHeight="1" x14ac:dyDescent="0.3">
      <c r="A5" s="10" t="e" vm="4">
        <v>#VALUE!</v>
      </c>
      <c r="B5" s="23" t="s">
        <v>17</v>
      </c>
      <c r="C5" s="9">
        <v>200</v>
      </c>
      <c r="D5" s="15">
        <v>1480</v>
      </c>
      <c r="E5" s="14">
        <f>_FV(TablePortfolio[[#This Row],[Company]],"Price")</f>
        <v>3191.55</v>
      </c>
      <c r="F5" s="3">
        <f>_FV(TablePortfolio[[#This Row],[Company]],"Change (%)",TRUE)</f>
        <v>5.7942999999999995E-2</v>
      </c>
      <c r="G5" s="4">
        <f>IFERROR(I5/SUBTOTAL(109,TablePortfolio[Investment]),"")</f>
        <v>0.36543209876543209</v>
      </c>
      <c r="H5" s="4">
        <f>IFERROR(J5/SUBTOTAL(109,TablePortfolio[Value]),"")</f>
        <v>0.27628580394533236</v>
      </c>
      <c r="I5" s="15">
        <f t="shared" ref="I5" si="6">C5 * D5</f>
        <v>296000</v>
      </c>
      <c r="J5" s="15">
        <f t="shared" ref="J5" si="7">C5 * E5</f>
        <v>638310</v>
      </c>
      <c r="K5" s="3">
        <f t="shared" ref="K5" si="8">(((J5 - I5 ) / I5) )</f>
        <v>1.1564527027027027</v>
      </c>
    </row>
    <row r="6" spans="1:11" ht="18.649999999999999" customHeight="1" x14ac:dyDescent="0.3">
      <c r="A6" s="10"/>
      <c r="B6" s="23"/>
      <c r="C6" s="9"/>
      <c r="D6" s="15"/>
      <c r="E6" s="14"/>
      <c r="F6" s="3"/>
      <c r="G6" s="3"/>
      <c r="H6" s="4"/>
      <c r="I6" s="15"/>
      <c r="J6" s="15"/>
      <c r="K6" s="4"/>
    </row>
    <row r="7" spans="1:11" ht="18.649999999999999" customHeight="1" x14ac:dyDescent="0.3">
      <c r="A7" s="10"/>
      <c r="B7" s="23"/>
      <c r="C7" s="9"/>
      <c r="D7" s="15"/>
      <c r="E7" s="14"/>
      <c r="F7" s="3"/>
      <c r="G7" s="3"/>
      <c r="H7" s="4"/>
      <c r="I7" s="15"/>
      <c r="J7" s="15"/>
      <c r="K7" s="4"/>
    </row>
    <row r="8" spans="1:11" ht="18.649999999999999" customHeight="1" x14ac:dyDescent="0.3">
      <c r="A8" s="10"/>
      <c r="B8" s="23"/>
      <c r="C8" s="9"/>
      <c r="D8" s="15"/>
      <c r="E8" s="14"/>
      <c r="F8" s="3"/>
      <c r="G8" s="3"/>
      <c r="H8" s="4"/>
      <c r="I8" s="15"/>
      <c r="J8" s="15"/>
      <c r="K8" s="4"/>
    </row>
    <row r="9" spans="1:11" ht="18.649999999999999" customHeight="1" x14ac:dyDescent="0.3">
      <c r="A9" s="10"/>
      <c r="B9" s="23"/>
      <c r="C9" s="9"/>
      <c r="D9" s="15"/>
      <c r="E9" s="14"/>
      <c r="F9" s="3"/>
      <c r="G9" s="3"/>
      <c r="H9" s="4"/>
      <c r="I9" s="15"/>
      <c r="J9" s="15"/>
      <c r="K9" s="4"/>
    </row>
    <row r="10" spans="1:11" ht="18.649999999999999" customHeight="1" x14ac:dyDescent="0.3">
      <c r="A10" s="10"/>
      <c r="B10" s="23"/>
      <c r="C10" s="9"/>
      <c r="D10" s="15"/>
      <c r="E10" s="14"/>
      <c r="F10" s="3"/>
      <c r="G10" s="3"/>
      <c r="H10" s="4"/>
      <c r="I10" s="15"/>
      <c r="J10" s="15"/>
      <c r="K10" s="4"/>
    </row>
    <row r="11" spans="1:11" ht="18.649999999999999" customHeight="1" x14ac:dyDescent="0.3">
      <c r="A11" s="5" t="s">
        <v>11</v>
      </c>
      <c r="B11" s="5"/>
      <c r="C11" s="18"/>
      <c r="D11" s="17"/>
      <c r="E11" s="5"/>
      <c r="F11" s="5"/>
      <c r="G11" s="5"/>
      <c r="H11" s="6"/>
      <c r="I11" s="21">
        <f>IFERROR(SUBTOTAL(109,TablePortfolio[Investment]), "")</f>
        <v>810000</v>
      </c>
      <c r="J11" s="21">
        <f>IFERROR(SUBTOTAL(109,TablePortfolio[Value]), "")</f>
        <v>2310325</v>
      </c>
      <c r="K11" s="16"/>
    </row>
    <row r="12" spans="1:11" ht="18.649999999999999" customHeight="1" x14ac:dyDescent="0.3"/>
    <row r="13" spans="1:11" ht="18.649999999999999" customHeight="1" x14ac:dyDescent="0.3"/>
    <row r="14" spans="1:11" ht="18.649999999999999" customHeight="1" x14ac:dyDescent="0.3"/>
    <row r="15" spans="1:11" ht="18.649999999999999" customHeight="1" x14ac:dyDescent="0.3"/>
    <row r="16" spans="1:11" ht="18.649999999999999" customHeight="1" x14ac:dyDescent="0.3"/>
    <row r="17" ht="18.649999999999999" customHeight="1" x14ac:dyDescent="0.3"/>
    <row r="18" ht="18.649999999999999" customHeight="1" x14ac:dyDescent="0.3"/>
    <row r="19" ht="18.649999999999999" customHeight="1" x14ac:dyDescent="0.3"/>
    <row r="20" ht="18.649999999999999" customHeight="1" x14ac:dyDescent="0.3"/>
    <row r="21" ht="18.649999999999999" customHeight="1" x14ac:dyDescent="0.3"/>
    <row r="22" ht="18.649999999999999" customHeight="1" x14ac:dyDescent="0.3"/>
    <row r="23" ht="18.649999999999999" customHeight="1" x14ac:dyDescent="0.3"/>
    <row r="24" ht="18.649999999999999" customHeight="1" x14ac:dyDescent="0.3"/>
    <row r="25" ht="18.649999999999999" customHeight="1" x14ac:dyDescent="0.3"/>
    <row r="26" ht="18.649999999999999" customHeight="1" x14ac:dyDescent="0.3"/>
    <row r="27" ht="18.649999999999999" customHeight="1" x14ac:dyDescent="0.3"/>
    <row r="28" ht="18.649999999999999" customHeight="1" x14ac:dyDescent="0.3"/>
    <row r="29" ht="18.649999999999999" customHeight="1" x14ac:dyDescent="0.3"/>
    <row r="30" ht="18.649999999999999" customHeight="1" x14ac:dyDescent="0.3"/>
    <row r="31" ht="18.649999999999999" customHeight="1" x14ac:dyDescent="0.3"/>
    <row r="32" ht="18.649999999999999" customHeight="1" x14ac:dyDescent="0.3"/>
    <row r="33" ht="18.649999999999999" customHeight="1" x14ac:dyDescent="0.3"/>
    <row r="34" ht="18.649999999999999" customHeight="1" x14ac:dyDescent="0.3"/>
    <row r="35" ht="18.649999999999999" customHeight="1" x14ac:dyDescent="0.3"/>
    <row r="36" ht="18.649999999999999" customHeight="1" x14ac:dyDescent="0.3"/>
    <row r="37" ht="18.649999999999999" customHeight="1" x14ac:dyDescent="0.3"/>
    <row r="38" ht="18.649999999999999" customHeight="1" x14ac:dyDescent="0.3"/>
    <row r="39" ht="18.649999999999999" customHeight="1" x14ac:dyDescent="0.3"/>
    <row r="40" ht="18.649999999999999" customHeight="1" x14ac:dyDescent="0.3"/>
    <row r="41" ht="18.649999999999999" customHeight="1" x14ac:dyDescent="0.3"/>
    <row r="42" ht="18.649999999999999" customHeight="1" x14ac:dyDescent="0.3"/>
    <row r="43" ht="18.649999999999999" customHeight="1" x14ac:dyDescent="0.3"/>
    <row r="44" ht="18.649999999999999" customHeight="1" x14ac:dyDescent="0.3"/>
    <row r="45" ht="18.649999999999999" customHeight="1" x14ac:dyDescent="0.3"/>
    <row r="46" ht="18.649999999999999" customHeight="1" x14ac:dyDescent="0.3"/>
    <row r="47" ht="18.649999999999999" customHeight="1" x14ac:dyDescent="0.3"/>
    <row r="48" ht="18.649999999999999" customHeight="1" x14ac:dyDescent="0.3"/>
    <row r="49" ht="18.649999999999999" customHeight="1" x14ac:dyDescent="0.3"/>
    <row r="50" ht="18.649999999999999" customHeight="1" x14ac:dyDescent="0.3"/>
    <row r="51" ht="18.649999999999999" customHeight="1" x14ac:dyDescent="0.3"/>
    <row r="52" ht="18.649999999999999" customHeight="1" x14ac:dyDescent="0.3"/>
    <row r="53" ht="18.649999999999999" customHeight="1" x14ac:dyDescent="0.3"/>
    <row r="54" ht="18.649999999999999" customHeight="1" x14ac:dyDescent="0.3"/>
    <row r="55" ht="18.649999999999999" customHeight="1" x14ac:dyDescent="0.3"/>
    <row r="56" ht="18.649999999999999" customHeight="1" x14ac:dyDescent="0.3"/>
    <row r="57" ht="18.649999999999999" customHeight="1" x14ac:dyDescent="0.3"/>
    <row r="58" ht="18.649999999999999" customHeight="1" x14ac:dyDescent="0.3"/>
    <row r="59" ht="18.649999999999999" customHeight="1" x14ac:dyDescent="0.3"/>
    <row r="60" ht="18.649999999999999" customHeight="1" x14ac:dyDescent="0.3"/>
    <row r="61" ht="18.649999999999999" customHeight="1" x14ac:dyDescent="0.3"/>
    <row r="62" ht="18.649999999999999" customHeight="1" x14ac:dyDescent="0.3"/>
    <row r="63" ht="18.649999999999999" customHeight="1" x14ac:dyDescent="0.3"/>
    <row r="64" ht="18.649999999999999" customHeight="1" x14ac:dyDescent="0.3"/>
    <row r="65" ht="18.649999999999999" customHeight="1" x14ac:dyDescent="0.3"/>
    <row r="66" ht="18.649999999999999" customHeight="1" x14ac:dyDescent="0.3"/>
    <row r="67" ht="18.649999999999999" customHeight="1" x14ac:dyDescent="0.3"/>
    <row r="68" ht="18.649999999999999" customHeight="1" x14ac:dyDescent="0.3"/>
    <row r="69" ht="18.649999999999999" customHeight="1" x14ac:dyDescent="0.3"/>
    <row r="70" ht="18.649999999999999" customHeight="1" x14ac:dyDescent="0.3"/>
    <row r="71" ht="18.649999999999999" customHeight="1" x14ac:dyDescent="0.3"/>
    <row r="72" ht="18.649999999999999" customHeight="1" x14ac:dyDescent="0.3"/>
    <row r="73" ht="18.649999999999999" customHeight="1" x14ac:dyDescent="0.3"/>
    <row r="74" ht="18.649999999999999" customHeight="1" x14ac:dyDescent="0.3"/>
    <row r="75" ht="18.649999999999999" customHeight="1" x14ac:dyDescent="0.3"/>
    <row r="76" ht="18.649999999999999" customHeight="1" x14ac:dyDescent="0.3"/>
    <row r="77" ht="18.649999999999999" customHeight="1" x14ac:dyDescent="0.3"/>
    <row r="78" ht="18.649999999999999" customHeight="1" x14ac:dyDescent="0.3"/>
    <row r="79" ht="18.649999999999999" customHeight="1" x14ac:dyDescent="0.3"/>
    <row r="80" ht="18.649999999999999" customHeight="1" x14ac:dyDescent="0.3"/>
    <row r="81" ht="18.649999999999999" customHeight="1" x14ac:dyDescent="0.3"/>
    <row r="82" ht="18.649999999999999" customHeight="1" x14ac:dyDescent="0.3"/>
    <row r="83" ht="18.649999999999999" customHeight="1" x14ac:dyDescent="0.3"/>
    <row r="84" ht="18.649999999999999" customHeight="1" x14ac:dyDescent="0.3"/>
    <row r="85" ht="18.649999999999999" customHeight="1" x14ac:dyDescent="0.3"/>
    <row r="86" ht="18.649999999999999" customHeight="1" x14ac:dyDescent="0.3"/>
    <row r="87" ht="18.649999999999999" customHeight="1" x14ac:dyDescent="0.3"/>
    <row r="88" ht="18.649999999999999" customHeight="1" x14ac:dyDescent="0.3"/>
    <row r="89" ht="18.649999999999999" customHeight="1" x14ac:dyDescent="0.3"/>
    <row r="90" ht="18.649999999999999" customHeight="1" x14ac:dyDescent="0.3"/>
    <row r="91" ht="18.649999999999999" customHeight="1" x14ac:dyDescent="0.3"/>
    <row r="92" ht="18.649999999999999" customHeight="1" x14ac:dyDescent="0.3"/>
    <row r="93" ht="18.649999999999999" customHeight="1" x14ac:dyDescent="0.3"/>
    <row r="94" ht="18.649999999999999" customHeight="1" x14ac:dyDescent="0.3"/>
    <row r="95" ht="18.649999999999999" customHeight="1" x14ac:dyDescent="0.3"/>
    <row r="96" ht="18.649999999999999" customHeight="1" x14ac:dyDescent="0.3"/>
    <row r="97" ht="18.649999999999999" customHeight="1" x14ac:dyDescent="0.3"/>
    <row r="98" ht="18.649999999999999" customHeight="1" x14ac:dyDescent="0.3"/>
    <row r="99" ht="18.649999999999999" customHeight="1" x14ac:dyDescent="0.3"/>
    <row r="100" ht="18.649999999999999" customHeight="1" x14ac:dyDescent="0.3"/>
    <row r="101" ht="18.649999999999999" customHeight="1" x14ac:dyDescent="0.3"/>
    <row r="102" ht="18.649999999999999" customHeight="1" x14ac:dyDescent="0.3"/>
    <row r="103" ht="18.649999999999999" customHeight="1" x14ac:dyDescent="0.3"/>
    <row r="104" ht="18.649999999999999" customHeight="1" x14ac:dyDescent="0.3"/>
    <row r="105" ht="18.649999999999999" customHeight="1" x14ac:dyDescent="0.3"/>
    <row r="106" ht="18.649999999999999" customHeight="1" x14ac:dyDescent="0.3"/>
    <row r="107" ht="18.649999999999999" customHeight="1" x14ac:dyDescent="0.3"/>
    <row r="108" ht="18.649999999999999" customHeight="1" x14ac:dyDescent="0.3"/>
    <row r="109" ht="18.649999999999999" customHeight="1" x14ac:dyDescent="0.3"/>
    <row r="110" ht="18.649999999999999" customHeight="1" x14ac:dyDescent="0.3"/>
    <row r="111" ht="18.649999999999999" customHeight="1" x14ac:dyDescent="0.3"/>
    <row r="112" ht="18.649999999999999" customHeight="1" x14ac:dyDescent="0.3"/>
    <row r="113" ht="18.649999999999999" customHeight="1" x14ac:dyDescent="0.3"/>
    <row r="114" ht="18.649999999999999" customHeight="1" x14ac:dyDescent="0.3"/>
    <row r="115" ht="18.649999999999999" customHeight="1" x14ac:dyDescent="0.3"/>
    <row r="116" ht="18.649999999999999" customHeight="1" x14ac:dyDescent="0.3"/>
    <row r="117" ht="18.649999999999999" customHeight="1" x14ac:dyDescent="0.3"/>
    <row r="118" ht="18.649999999999999" customHeight="1" x14ac:dyDescent="0.3"/>
    <row r="119" ht="18.649999999999999" customHeight="1" x14ac:dyDescent="0.3"/>
    <row r="120" ht="18.649999999999999" customHeight="1" x14ac:dyDescent="0.3"/>
    <row r="121" ht="18.649999999999999" customHeight="1" x14ac:dyDescent="0.3"/>
    <row r="122" ht="18.649999999999999" customHeight="1" x14ac:dyDescent="0.3"/>
    <row r="123" ht="18.649999999999999" customHeight="1" x14ac:dyDescent="0.3"/>
    <row r="124" ht="18.649999999999999" customHeight="1" x14ac:dyDescent="0.3"/>
    <row r="125" ht="18.649999999999999" customHeight="1" x14ac:dyDescent="0.3"/>
    <row r="126" ht="18.649999999999999" customHeight="1" x14ac:dyDescent="0.3"/>
    <row r="127" ht="18.649999999999999" customHeight="1" x14ac:dyDescent="0.3"/>
    <row r="128" ht="18.649999999999999" customHeight="1" x14ac:dyDescent="0.3"/>
    <row r="129" ht="18.649999999999999" customHeight="1" x14ac:dyDescent="0.3"/>
    <row r="130" ht="18.649999999999999" customHeight="1" x14ac:dyDescent="0.3"/>
    <row r="131" ht="18.649999999999999" customHeight="1" x14ac:dyDescent="0.3"/>
    <row r="132" ht="18.649999999999999" customHeight="1" x14ac:dyDescent="0.3"/>
    <row r="133" ht="18.649999999999999" customHeight="1" x14ac:dyDescent="0.3"/>
    <row r="134" ht="18.649999999999999" customHeight="1" x14ac:dyDescent="0.3"/>
    <row r="135" ht="18.649999999999999" customHeight="1" x14ac:dyDescent="0.3"/>
    <row r="136" ht="18.649999999999999" customHeight="1" x14ac:dyDescent="0.3"/>
    <row r="137" ht="18.649999999999999" customHeight="1" x14ac:dyDescent="0.3"/>
    <row r="138" ht="18.649999999999999" customHeight="1" x14ac:dyDescent="0.3"/>
    <row r="139" ht="18.649999999999999" customHeight="1" x14ac:dyDescent="0.3"/>
    <row r="140" ht="18.649999999999999" customHeight="1" x14ac:dyDescent="0.3"/>
    <row r="141" ht="18.649999999999999" customHeight="1" x14ac:dyDescent="0.3"/>
    <row r="142" ht="18.649999999999999" customHeight="1" x14ac:dyDescent="0.3"/>
    <row r="143" ht="18.649999999999999" customHeight="1" x14ac:dyDescent="0.3"/>
    <row r="144" ht="18.649999999999999" customHeight="1" x14ac:dyDescent="0.3"/>
    <row r="145" ht="18.649999999999999" customHeight="1" x14ac:dyDescent="0.3"/>
    <row r="146" ht="18.649999999999999" customHeight="1" x14ac:dyDescent="0.3"/>
    <row r="147" ht="18.649999999999999" customHeight="1" x14ac:dyDescent="0.3"/>
    <row r="148" ht="18.649999999999999" customHeight="1" x14ac:dyDescent="0.3"/>
    <row r="149" ht="18.649999999999999" customHeight="1" x14ac:dyDescent="0.3"/>
    <row r="150" ht="18.649999999999999" customHeight="1" x14ac:dyDescent="0.3"/>
    <row r="151" ht="18.649999999999999" customHeight="1" x14ac:dyDescent="0.3"/>
    <row r="152" ht="18.649999999999999" customHeight="1" x14ac:dyDescent="0.3"/>
    <row r="153" ht="18.649999999999999" customHeight="1" x14ac:dyDescent="0.3"/>
    <row r="154" ht="18.649999999999999" customHeight="1" x14ac:dyDescent="0.3"/>
    <row r="155" ht="18.649999999999999" customHeight="1" x14ac:dyDescent="0.3"/>
    <row r="156" ht="18.649999999999999" customHeight="1" x14ac:dyDescent="0.3"/>
    <row r="157" ht="18.649999999999999" customHeight="1" x14ac:dyDescent="0.3"/>
    <row r="158" ht="18.649999999999999" customHeight="1" x14ac:dyDescent="0.3"/>
    <row r="159" ht="18.649999999999999" customHeight="1" x14ac:dyDescent="0.3"/>
    <row r="160" ht="18.649999999999999" customHeight="1" x14ac:dyDescent="0.3"/>
    <row r="161" ht="18.649999999999999" customHeight="1" x14ac:dyDescent="0.3"/>
    <row r="162" ht="18.649999999999999" customHeight="1" x14ac:dyDescent="0.3"/>
    <row r="163" ht="18.649999999999999" customHeight="1" x14ac:dyDescent="0.3"/>
    <row r="164" ht="18.649999999999999" customHeight="1" x14ac:dyDescent="0.3"/>
    <row r="165" ht="18.649999999999999" customHeight="1" x14ac:dyDescent="0.3"/>
    <row r="166" ht="18.649999999999999" customHeight="1" x14ac:dyDescent="0.3"/>
    <row r="167" ht="18.649999999999999" customHeight="1" x14ac:dyDescent="0.3"/>
    <row r="168" ht="18.649999999999999" customHeight="1" x14ac:dyDescent="0.3"/>
    <row r="169" ht="18.649999999999999" customHeight="1" x14ac:dyDescent="0.3"/>
    <row r="170" ht="18.649999999999999" customHeight="1" x14ac:dyDescent="0.3"/>
    <row r="171" ht="18.649999999999999" customHeight="1" x14ac:dyDescent="0.3"/>
    <row r="172" ht="18.649999999999999" customHeight="1" x14ac:dyDescent="0.3"/>
    <row r="173" ht="18.649999999999999" customHeight="1" x14ac:dyDescent="0.3"/>
    <row r="174" ht="18.649999999999999" customHeight="1" x14ac:dyDescent="0.3"/>
    <row r="175" ht="18.649999999999999" customHeight="1" x14ac:dyDescent="0.3"/>
    <row r="176" ht="18.649999999999999" customHeight="1" x14ac:dyDescent="0.3"/>
    <row r="177" ht="18.649999999999999" customHeight="1" x14ac:dyDescent="0.3"/>
    <row r="178" ht="18.649999999999999" customHeight="1" x14ac:dyDescent="0.3"/>
    <row r="179" ht="18.649999999999999" customHeight="1" x14ac:dyDescent="0.3"/>
    <row r="180" ht="18.649999999999999" customHeight="1" x14ac:dyDescent="0.3"/>
    <row r="181" ht="18.649999999999999" customHeight="1" x14ac:dyDescent="0.3"/>
    <row r="182" ht="18.649999999999999" customHeight="1" x14ac:dyDescent="0.3"/>
    <row r="183" ht="18.649999999999999" customHeight="1" x14ac:dyDescent="0.3"/>
    <row r="184" ht="18.649999999999999" customHeight="1" x14ac:dyDescent="0.3"/>
    <row r="185" ht="18.649999999999999" customHeight="1" x14ac:dyDescent="0.3"/>
    <row r="186" ht="18.649999999999999" customHeight="1" x14ac:dyDescent="0.3"/>
    <row r="187" ht="18.649999999999999" customHeight="1" x14ac:dyDescent="0.3"/>
    <row r="188" ht="18.649999999999999" customHeight="1" x14ac:dyDescent="0.3"/>
    <row r="189" ht="18.649999999999999" customHeight="1" x14ac:dyDescent="0.3"/>
    <row r="190" ht="18.649999999999999" customHeight="1" x14ac:dyDescent="0.3"/>
    <row r="191" ht="18.649999999999999" customHeight="1" x14ac:dyDescent="0.3"/>
    <row r="192" ht="18.649999999999999" customHeight="1" x14ac:dyDescent="0.3"/>
    <row r="193" ht="18.649999999999999" customHeight="1" x14ac:dyDescent="0.3"/>
    <row r="194" ht="18.649999999999999" customHeight="1" x14ac:dyDescent="0.3"/>
    <row r="195" ht="18.649999999999999" customHeight="1" x14ac:dyDescent="0.3"/>
    <row r="196" ht="18.649999999999999" customHeight="1" x14ac:dyDescent="0.3"/>
    <row r="197" ht="18.649999999999999" customHeight="1" x14ac:dyDescent="0.3"/>
    <row r="198" ht="18.649999999999999" customHeight="1" x14ac:dyDescent="0.3"/>
    <row r="199" ht="18.649999999999999" customHeight="1" x14ac:dyDescent="0.3"/>
    <row r="200" ht="18.649999999999999" customHeight="1" x14ac:dyDescent="0.3"/>
    <row r="201" ht="18.649999999999999" customHeight="1" x14ac:dyDescent="0.3"/>
    <row r="202" ht="18.649999999999999" customHeight="1" x14ac:dyDescent="0.3"/>
    <row r="203" ht="18.649999999999999" customHeight="1" x14ac:dyDescent="0.3"/>
    <row r="204" ht="18.649999999999999" customHeight="1" x14ac:dyDescent="0.3"/>
    <row r="205" ht="18.649999999999999" customHeight="1" x14ac:dyDescent="0.3"/>
    <row r="206" ht="18.649999999999999" customHeight="1" x14ac:dyDescent="0.3"/>
    <row r="207" ht="18.649999999999999" customHeight="1" x14ac:dyDescent="0.3"/>
    <row r="208" ht="18.649999999999999" customHeight="1" x14ac:dyDescent="0.3"/>
    <row r="209" ht="18.649999999999999" customHeight="1" x14ac:dyDescent="0.3"/>
    <row r="210" ht="18.649999999999999" customHeight="1" x14ac:dyDescent="0.3"/>
    <row r="211" ht="18.649999999999999" customHeight="1" x14ac:dyDescent="0.3"/>
    <row r="212" ht="18.649999999999999" customHeight="1" x14ac:dyDescent="0.3"/>
    <row r="213" ht="18.649999999999999" customHeight="1" x14ac:dyDescent="0.3"/>
    <row r="214" ht="18.649999999999999" customHeight="1" x14ac:dyDescent="0.3"/>
    <row r="215" ht="18.649999999999999" customHeight="1" x14ac:dyDescent="0.3"/>
    <row r="216" ht="18.649999999999999" customHeight="1" x14ac:dyDescent="0.3"/>
    <row r="217" ht="18.649999999999999" customHeight="1" x14ac:dyDescent="0.3"/>
    <row r="218" ht="18.649999999999999" customHeight="1" x14ac:dyDescent="0.3"/>
    <row r="219" ht="18.649999999999999" customHeight="1" x14ac:dyDescent="0.3"/>
    <row r="220" ht="18.649999999999999" customHeight="1" x14ac:dyDescent="0.3"/>
    <row r="221" ht="18.649999999999999" customHeight="1" x14ac:dyDescent="0.3"/>
    <row r="222" ht="18.649999999999999" customHeight="1" x14ac:dyDescent="0.3"/>
    <row r="223" ht="18.649999999999999" customHeight="1" x14ac:dyDescent="0.3"/>
    <row r="224" ht="18.649999999999999" customHeight="1" x14ac:dyDescent="0.3"/>
    <row r="225" ht="18.649999999999999" customHeight="1" x14ac:dyDescent="0.3"/>
    <row r="226" ht="18.649999999999999" customHeight="1" x14ac:dyDescent="0.3"/>
    <row r="227" ht="18.649999999999999" customHeight="1" x14ac:dyDescent="0.3"/>
    <row r="228" ht="18.649999999999999" customHeight="1" x14ac:dyDescent="0.3"/>
    <row r="229" ht="18.649999999999999" customHeight="1" x14ac:dyDescent="0.3"/>
    <row r="230" ht="18.649999999999999" customHeight="1" x14ac:dyDescent="0.3"/>
    <row r="231" ht="18.649999999999999" customHeight="1" x14ac:dyDescent="0.3"/>
    <row r="232" ht="18.649999999999999" customHeight="1" x14ac:dyDescent="0.3"/>
    <row r="233" ht="18.649999999999999" customHeight="1" x14ac:dyDescent="0.3"/>
    <row r="234" ht="18.649999999999999" customHeight="1" x14ac:dyDescent="0.3"/>
    <row r="235" ht="18.649999999999999" customHeight="1" x14ac:dyDescent="0.3"/>
    <row r="236" ht="18.649999999999999" customHeight="1" x14ac:dyDescent="0.3"/>
    <row r="237" ht="18.649999999999999" customHeight="1" x14ac:dyDescent="0.3"/>
    <row r="238" ht="18.649999999999999" customHeight="1" x14ac:dyDescent="0.3"/>
    <row r="239" ht="18.649999999999999" customHeight="1" x14ac:dyDescent="0.3"/>
    <row r="240" ht="18.649999999999999" customHeight="1" x14ac:dyDescent="0.3"/>
    <row r="241" ht="18.649999999999999" customHeight="1" x14ac:dyDescent="0.3"/>
    <row r="242" ht="18.649999999999999" customHeight="1" x14ac:dyDescent="0.3"/>
    <row r="243" ht="18.649999999999999" customHeight="1" x14ac:dyDescent="0.3"/>
    <row r="244" ht="18.649999999999999" customHeight="1" x14ac:dyDescent="0.3"/>
    <row r="245" ht="18.649999999999999" customHeight="1" x14ac:dyDescent="0.3"/>
    <row r="246" ht="18.649999999999999" customHeight="1" x14ac:dyDescent="0.3"/>
    <row r="247" ht="18.649999999999999" customHeight="1" x14ac:dyDescent="0.3"/>
    <row r="248" ht="18.649999999999999" customHeight="1" x14ac:dyDescent="0.3"/>
    <row r="249" ht="18.649999999999999" customHeight="1" x14ac:dyDescent="0.3"/>
    <row r="250" ht="18.649999999999999" customHeight="1" x14ac:dyDescent="0.3"/>
    <row r="251" ht="18.649999999999999" customHeight="1" x14ac:dyDescent="0.3"/>
    <row r="252" ht="18.649999999999999" customHeight="1" x14ac:dyDescent="0.3"/>
    <row r="253" ht="18.649999999999999" customHeight="1" x14ac:dyDescent="0.3"/>
    <row r="254" ht="18.649999999999999" customHeight="1" x14ac:dyDescent="0.3"/>
    <row r="255" ht="18.649999999999999" customHeight="1" x14ac:dyDescent="0.3"/>
    <row r="256" ht="18.649999999999999" customHeight="1" x14ac:dyDescent="0.3"/>
    <row r="257" ht="18.649999999999999" customHeight="1" x14ac:dyDescent="0.3"/>
    <row r="258" ht="18.649999999999999" customHeight="1" x14ac:dyDescent="0.3"/>
    <row r="259" ht="18.649999999999999" customHeight="1" x14ac:dyDescent="0.3"/>
    <row r="260" ht="18.649999999999999" customHeight="1" x14ac:dyDescent="0.3"/>
    <row r="261" ht="18.649999999999999" customHeight="1" x14ac:dyDescent="0.3"/>
    <row r="262" ht="18.649999999999999" customHeight="1" x14ac:dyDescent="0.3"/>
    <row r="263" ht="18.649999999999999" customHeight="1" x14ac:dyDescent="0.3"/>
    <row r="264" ht="18.649999999999999" customHeight="1" x14ac:dyDescent="0.3"/>
    <row r="265" ht="18.649999999999999" customHeight="1" x14ac:dyDescent="0.3"/>
    <row r="266" ht="18.649999999999999" customHeight="1" x14ac:dyDescent="0.3"/>
    <row r="267" ht="18.649999999999999" customHeight="1" x14ac:dyDescent="0.3"/>
    <row r="268" ht="18.649999999999999" customHeight="1" x14ac:dyDescent="0.3"/>
    <row r="269" ht="18.649999999999999" customHeight="1" x14ac:dyDescent="0.3"/>
    <row r="270" ht="18.649999999999999" customHeight="1" x14ac:dyDescent="0.3"/>
    <row r="271" ht="18.649999999999999" customHeight="1" x14ac:dyDescent="0.3"/>
    <row r="272" ht="18.649999999999999" customHeight="1" x14ac:dyDescent="0.3"/>
    <row r="273" ht="18.649999999999999" customHeight="1" x14ac:dyDescent="0.3"/>
    <row r="274" ht="18.649999999999999" customHeight="1" x14ac:dyDescent="0.3"/>
    <row r="275" ht="18.649999999999999" customHeight="1" x14ac:dyDescent="0.3"/>
    <row r="276" ht="18.649999999999999" customHeight="1" x14ac:dyDescent="0.3"/>
    <row r="277" ht="18.649999999999999" customHeight="1" x14ac:dyDescent="0.3"/>
    <row r="278" ht="18.649999999999999" customHeight="1" x14ac:dyDescent="0.3"/>
    <row r="279" ht="18.649999999999999" customHeight="1" x14ac:dyDescent="0.3"/>
    <row r="280" ht="18.649999999999999" customHeight="1" x14ac:dyDescent="0.3"/>
    <row r="281" ht="18.649999999999999" customHeight="1" x14ac:dyDescent="0.3"/>
    <row r="282" ht="18.649999999999999" customHeight="1" x14ac:dyDescent="0.3"/>
    <row r="283" ht="18.649999999999999" customHeight="1" x14ac:dyDescent="0.3"/>
    <row r="284" ht="18.649999999999999" customHeight="1" x14ac:dyDescent="0.3"/>
    <row r="285" ht="18.649999999999999" customHeight="1" x14ac:dyDescent="0.3"/>
    <row r="286" ht="18.649999999999999" customHeight="1" x14ac:dyDescent="0.3"/>
    <row r="287" ht="18.649999999999999" customHeight="1" x14ac:dyDescent="0.3"/>
    <row r="288" ht="18.649999999999999" customHeight="1" x14ac:dyDescent="0.3"/>
    <row r="289" ht="18.649999999999999" customHeight="1" x14ac:dyDescent="0.3"/>
    <row r="290" ht="18.649999999999999" customHeight="1" x14ac:dyDescent="0.3"/>
    <row r="291" ht="18.649999999999999" customHeight="1" x14ac:dyDescent="0.3"/>
    <row r="292" ht="18.649999999999999" customHeight="1" x14ac:dyDescent="0.3"/>
    <row r="293" ht="18.649999999999999" customHeight="1" x14ac:dyDescent="0.3"/>
    <row r="294" ht="18.649999999999999" customHeight="1" x14ac:dyDescent="0.3"/>
    <row r="295" ht="18.649999999999999" customHeight="1" x14ac:dyDescent="0.3"/>
    <row r="296" ht="18.649999999999999" customHeight="1" x14ac:dyDescent="0.3"/>
    <row r="297" ht="18.649999999999999" customHeight="1" x14ac:dyDescent="0.3"/>
    <row r="298" ht="18.649999999999999" customHeight="1" x14ac:dyDescent="0.3"/>
    <row r="299" ht="18.649999999999999" customHeight="1" x14ac:dyDescent="0.3"/>
    <row r="300" ht="18.649999999999999" customHeight="1" x14ac:dyDescent="0.3"/>
    <row r="301" ht="18.649999999999999" customHeight="1" x14ac:dyDescent="0.3"/>
    <row r="302" ht="18.649999999999999" customHeight="1" x14ac:dyDescent="0.3"/>
    <row r="303" ht="18.649999999999999" customHeight="1" x14ac:dyDescent="0.3"/>
    <row r="304" ht="18.649999999999999" customHeight="1" x14ac:dyDescent="0.3"/>
    <row r="305" ht="18.649999999999999" customHeight="1" x14ac:dyDescent="0.3"/>
    <row r="306" ht="18.649999999999999" customHeight="1" x14ac:dyDescent="0.3"/>
    <row r="307" ht="18.649999999999999" customHeight="1" x14ac:dyDescent="0.3"/>
    <row r="308" ht="18.649999999999999" customHeight="1" x14ac:dyDescent="0.3"/>
    <row r="309" ht="18.649999999999999" customHeight="1" x14ac:dyDescent="0.3"/>
    <row r="310" ht="18.649999999999999" customHeight="1" x14ac:dyDescent="0.3"/>
    <row r="311" ht="18.649999999999999" customHeight="1" x14ac:dyDescent="0.3"/>
    <row r="312" ht="18.649999999999999" customHeight="1" x14ac:dyDescent="0.3"/>
    <row r="313" ht="18.649999999999999" customHeight="1" x14ac:dyDescent="0.3"/>
    <row r="314" ht="18.649999999999999" customHeight="1" x14ac:dyDescent="0.3"/>
    <row r="315" ht="18.649999999999999" customHeight="1" x14ac:dyDescent="0.3"/>
    <row r="316" ht="18.649999999999999" customHeight="1" x14ac:dyDescent="0.3"/>
    <row r="317" ht="18.649999999999999" customHeight="1" x14ac:dyDescent="0.3"/>
    <row r="318" ht="18.649999999999999" customHeight="1" x14ac:dyDescent="0.3"/>
    <row r="319" ht="18.649999999999999" customHeight="1" x14ac:dyDescent="0.3"/>
    <row r="320" ht="18.649999999999999" customHeight="1" x14ac:dyDescent="0.3"/>
    <row r="321" ht="18.649999999999999" customHeight="1" x14ac:dyDescent="0.3"/>
    <row r="322" ht="18.649999999999999" customHeight="1" x14ac:dyDescent="0.3"/>
    <row r="323" ht="18.649999999999999" customHeight="1" x14ac:dyDescent="0.3"/>
    <row r="324" ht="18.649999999999999" customHeight="1" x14ac:dyDescent="0.3"/>
    <row r="325" ht="18.649999999999999" customHeight="1" x14ac:dyDescent="0.3"/>
    <row r="326" ht="18.649999999999999" customHeight="1" x14ac:dyDescent="0.3"/>
    <row r="327" ht="18.649999999999999" customHeight="1" x14ac:dyDescent="0.3"/>
    <row r="328" ht="18.649999999999999" customHeight="1" x14ac:dyDescent="0.3"/>
    <row r="329" ht="18.649999999999999" customHeight="1" x14ac:dyDescent="0.3"/>
    <row r="330" ht="18.649999999999999" customHeight="1" x14ac:dyDescent="0.3"/>
    <row r="331" ht="18.649999999999999" customHeight="1" x14ac:dyDescent="0.3"/>
    <row r="332" ht="18.649999999999999" customHeight="1" x14ac:dyDescent="0.3"/>
    <row r="333" ht="18.649999999999999" customHeight="1" x14ac:dyDescent="0.3"/>
    <row r="334" ht="18.649999999999999" customHeight="1" x14ac:dyDescent="0.3"/>
    <row r="335" ht="18.649999999999999" customHeight="1" x14ac:dyDescent="0.3"/>
    <row r="336" ht="18.649999999999999" customHeight="1" x14ac:dyDescent="0.3"/>
    <row r="337" ht="18.649999999999999" customHeight="1" x14ac:dyDescent="0.3"/>
    <row r="338" ht="18.649999999999999" customHeight="1" x14ac:dyDescent="0.3"/>
    <row r="339" ht="18.649999999999999" customHeight="1" x14ac:dyDescent="0.3"/>
    <row r="340" ht="18.649999999999999" customHeight="1" x14ac:dyDescent="0.3"/>
    <row r="341" ht="18.649999999999999" customHeight="1" x14ac:dyDescent="0.3"/>
    <row r="342" ht="18.649999999999999" customHeight="1" x14ac:dyDescent="0.3"/>
    <row r="343" ht="18.649999999999999" customHeight="1" x14ac:dyDescent="0.3"/>
    <row r="344" ht="18.649999999999999" customHeight="1" x14ac:dyDescent="0.3"/>
    <row r="345" ht="18.649999999999999" customHeight="1" x14ac:dyDescent="0.3"/>
    <row r="346" ht="18.649999999999999" customHeight="1" x14ac:dyDescent="0.3"/>
    <row r="347" ht="18.649999999999999" customHeight="1" x14ac:dyDescent="0.3"/>
    <row r="348" ht="18.649999999999999" customHeight="1" x14ac:dyDescent="0.3"/>
    <row r="349" ht="18.649999999999999" customHeight="1" x14ac:dyDescent="0.3"/>
    <row r="350" ht="18.649999999999999" customHeight="1" x14ac:dyDescent="0.3"/>
    <row r="351" ht="18.649999999999999" customHeight="1" x14ac:dyDescent="0.3"/>
    <row r="352" ht="18.649999999999999" customHeight="1" x14ac:dyDescent="0.3"/>
    <row r="353" ht="18.649999999999999" customHeight="1" x14ac:dyDescent="0.3"/>
    <row r="354" ht="18.649999999999999" customHeight="1" x14ac:dyDescent="0.3"/>
    <row r="355" ht="18.649999999999999" customHeight="1" x14ac:dyDescent="0.3"/>
    <row r="356" ht="18.649999999999999" customHeight="1" x14ac:dyDescent="0.3"/>
    <row r="357" ht="18.649999999999999" customHeight="1" x14ac:dyDescent="0.3"/>
    <row r="358" ht="18.649999999999999" customHeight="1" x14ac:dyDescent="0.3"/>
    <row r="359" ht="18.649999999999999" customHeight="1" x14ac:dyDescent="0.3"/>
    <row r="360" ht="18.649999999999999" customHeight="1" x14ac:dyDescent="0.3"/>
    <row r="361" ht="18.649999999999999" customHeight="1" x14ac:dyDescent="0.3"/>
    <row r="362" ht="18.649999999999999" customHeight="1" x14ac:dyDescent="0.3"/>
    <row r="363" ht="18.649999999999999" customHeight="1" x14ac:dyDescent="0.3"/>
    <row r="364" ht="18.649999999999999" customHeight="1" x14ac:dyDescent="0.3"/>
    <row r="365" ht="18.649999999999999" customHeight="1" x14ac:dyDescent="0.3"/>
    <row r="366" ht="18.649999999999999" customHeight="1" x14ac:dyDescent="0.3"/>
    <row r="367" ht="18.649999999999999" customHeight="1" x14ac:dyDescent="0.3"/>
    <row r="368" ht="18.649999999999999" customHeight="1" x14ac:dyDescent="0.3"/>
    <row r="369" ht="18.649999999999999" customHeight="1" x14ac:dyDescent="0.3"/>
    <row r="370" ht="18.649999999999999" customHeight="1" x14ac:dyDescent="0.3"/>
    <row r="371" ht="18.649999999999999" customHeight="1" x14ac:dyDescent="0.3"/>
    <row r="372" ht="18.649999999999999" customHeight="1" x14ac:dyDescent="0.3"/>
    <row r="373" ht="18.649999999999999" customHeight="1" x14ac:dyDescent="0.3"/>
    <row r="374" ht="18.649999999999999" customHeight="1" x14ac:dyDescent="0.3"/>
    <row r="375" ht="18.649999999999999" customHeight="1" x14ac:dyDescent="0.3"/>
    <row r="376" ht="18.649999999999999" customHeight="1" x14ac:dyDescent="0.3"/>
    <row r="377" ht="18.649999999999999" customHeight="1" x14ac:dyDescent="0.3"/>
    <row r="378" ht="18.649999999999999" customHeight="1" x14ac:dyDescent="0.3"/>
    <row r="379" ht="18.649999999999999" customHeight="1" x14ac:dyDescent="0.3"/>
    <row r="380" ht="18.649999999999999" customHeight="1" x14ac:dyDescent="0.3"/>
    <row r="381" ht="18.649999999999999" customHeight="1" x14ac:dyDescent="0.3"/>
    <row r="382" ht="18.649999999999999" customHeight="1" x14ac:dyDescent="0.3"/>
    <row r="383" ht="18.649999999999999" customHeight="1" x14ac:dyDescent="0.3"/>
    <row r="384" ht="18.649999999999999" customHeight="1" x14ac:dyDescent="0.3"/>
    <row r="385" ht="18.649999999999999" customHeight="1" x14ac:dyDescent="0.3"/>
    <row r="386" ht="18.649999999999999" customHeight="1" x14ac:dyDescent="0.3"/>
    <row r="387" ht="18.649999999999999" customHeight="1" x14ac:dyDescent="0.3"/>
    <row r="388" ht="18.649999999999999" customHeight="1" x14ac:dyDescent="0.3"/>
    <row r="389" ht="18.649999999999999" customHeight="1" x14ac:dyDescent="0.3"/>
    <row r="390" ht="18.649999999999999" customHeight="1" x14ac:dyDescent="0.3"/>
    <row r="391" ht="18.649999999999999" customHeight="1" x14ac:dyDescent="0.3"/>
    <row r="392" ht="18.649999999999999" customHeight="1" x14ac:dyDescent="0.3"/>
    <row r="393" ht="18.649999999999999" customHeight="1" x14ac:dyDescent="0.3"/>
    <row r="394" ht="18.649999999999999" customHeight="1" x14ac:dyDescent="0.3"/>
    <row r="395" ht="18.649999999999999" customHeight="1" x14ac:dyDescent="0.3"/>
    <row r="396" ht="18.649999999999999" customHeight="1" x14ac:dyDescent="0.3"/>
    <row r="397" ht="18.649999999999999" customHeight="1" x14ac:dyDescent="0.3"/>
    <row r="398" ht="18.649999999999999" customHeight="1" x14ac:dyDescent="0.3"/>
    <row r="399" ht="18.649999999999999" customHeight="1" x14ac:dyDescent="0.3"/>
    <row r="400" ht="18.649999999999999" customHeight="1" x14ac:dyDescent="0.3"/>
    <row r="401" ht="18.649999999999999" customHeight="1" x14ac:dyDescent="0.3"/>
    <row r="402" ht="18.649999999999999" customHeight="1" x14ac:dyDescent="0.3"/>
    <row r="403" ht="18.649999999999999" customHeight="1" x14ac:dyDescent="0.3"/>
    <row r="404" ht="18.649999999999999" customHeight="1" x14ac:dyDescent="0.3"/>
    <row r="405" ht="18.649999999999999" customHeight="1" x14ac:dyDescent="0.3"/>
    <row r="406" ht="18.649999999999999" customHeight="1" x14ac:dyDescent="0.3"/>
    <row r="407" ht="18.649999999999999" customHeight="1" x14ac:dyDescent="0.3"/>
    <row r="408" ht="18.649999999999999" customHeight="1" x14ac:dyDescent="0.3"/>
    <row r="409" ht="18.649999999999999" customHeight="1" x14ac:dyDescent="0.3"/>
    <row r="410" ht="18.649999999999999" customHeight="1" x14ac:dyDescent="0.3"/>
    <row r="411" ht="18.649999999999999" customHeight="1" x14ac:dyDescent="0.3"/>
    <row r="412" ht="18.649999999999999" customHeight="1" x14ac:dyDescent="0.3"/>
    <row r="413" ht="18.649999999999999" customHeight="1" x14ac:dyDescent="0.3"/>
    <row r="414" ht="18.649999999999999" customHeight="1" x14ac:dyDescent="0.3"/>
    <row r="415" ht="18.649999999999999" customHeight="1" x14ac:dyDescent="0.3"/>
    <row r="416" ht="18.649999999999999" customHeight="1" x14ac:dyDescent="0.3"/>
    <row r="417" ht="18.649999999999999" customHeight="1" x14ac:dyDescent="0.3"/>
    <row r="418" ht="18.649999999999999" customHeight="1" x14ac:dyDescent="0.3"/>
    <row r="419" ht="18.649999999999999" customHeight="1" x14ac:dyDescent="0.3"/>
    <row r="420" ht="18.649999999999999" customHeight="1" x14ac:dyDescent="0.3"/>
    <row r="421" ht="18.649999999999999" customHeight="1" x14ac:dyDescent="0.3"/>
    <row r="422" ht="18.649999999999999" customHeight="1" x14ac:dyDescent="0.3"/>
    <row r="423" ht="18.649999999999999" customHeight="1" x14ac:dyDescent="0.3"/>
    <row r="424" ht="18.649999999999999" customHeight="1" x14ac:dyDescent="0.3"/>
    <row r="425" ht="18.649999999999999" customHeight="1" x14ac:dyDescent="0.3"/>
    <row r="426" ht="18.649999999999999" customHeight="1" x14ac:dyDescent="0.3"/>
    <row r="427" ht="18.649999999999999" customHeight="1" x14ac:dyDescent="0.3"/>
    <row r="428" ht="18.649999999999999" customHeight="1" x14ac:dyDescent="0.3"/>
    <row r="429" ht="18.649999999999999" customHeight="1" x14ac:dyDescent="0.3"/>
    <row r="430" ht="18.649999999999999" customHeight="1" x14ac:dyDescent="0.3"/>
    <row r="431" ht="18.649999999999999" customHeight="1" x14ac:dyDescent="0.3"/>
    <row r="432" ht="18.649999999999999" customHeight="1" x14ac:dyDescent="0.3"/>
    <row r="433" ht="18.649999999999999" customHeight="1" x14ac:dyDescent="0.3"/>
    <row r="434" ht="18.649999999999999" customHeight="1" x14ac:dyDescent="0.3"/>
    <row r="435" ht="18.649999999999999" customHeight="1" x14ac:dyDescent="0.3"/>
    <row r="436" ht="18.649999999999999" customHeight="1" x14ac:dyDescent="0.3"/>
    <row r="437" ht="18.649999999999999" customHeight="1" x14ac:dyDescent="0.3"/>
    <row r="438" ht="18.649999999999999" customHeight="1" x14ac:dyDescent="0.3"/>
    <row r="439" ht="18.649999999999999" customHeight="1" x14ac:dyDescent="0.3"/>
    <row r="440" ht="18.649999999999999" customHeight="1" x14ac:dyDescent="0.3"/>
    <row r="441" ht="18.649999999999999" customHeight="1" x14ac:dyDescent="0.3"/>
    <row r="442" ht="18.649999999999999" customHeight="1" x14ac:dyDescent="0.3"/>
    <row r="443" ht="18.649999999999999" customHeight="1" x14ac:dyDescent="0.3"/>
    <row r="444" ht="18.649999999999999" customHeight="1" x14ac:dyDescent="0.3"/>
    <row r="445" ht="18.649999999999999" customHeight="1" x14ac:dyDescent="0.3"/>
    <row r="446" ht="18.649999999999999" customHeight="1" x14ac:dyDescent="0.3"/>
    <row r="447" ht="18.649999999999999" customHeight="1" x14ac:dyDescent="0.3"/>
    <row r="448" ht="18.649999999999999" customHeight="1" x14ac:dyDescent="0.3"/>
    <row r="449" ht="18.649999999999999" customHeight="1" x14ac:dyDescent="0.3"/>
    <row r="450" ht="18.649999999999999" customHeight="1" x14ac:dyDescent="0.3"/>
    <row r="451" ht="18.649999999999999" customHeight="1" x14ac:dyDescent="0.3"/>
    <row r="452" ht="18.649999999999999" customHeight="1" x14ac:dyDescent="0.3"/>
    <row r="453" ht="18.649999999999999" customHeight="1" x14ac:dyDescent="0.3"/>
    <row r="454" ht="18.649999999999999" customHeight="1" x14ac:dyDescent="0.3"/>
    <row r="455" ht="18.649999999999999" customHeight="1" x14ac:dyDescent="0.3"/>
    <row r="456" ht="18.649999999999999" customHeight="1" x14ac:dyDescent="0.3"/>
    <row r="457" ht="18.649999999999999" customHeight="1" x14ac:dyDescent="0.3"/>
    <row r="458" ht="18.649999999999999" customHeight="1" x14ac:dyDescent="0.3"/>
    <row r="459" ht="18.649999999999999" customHeight="1" x14ac:dyDescent="0.3"/>
    <row r="460" ht="18.649999999999999" customHeight="1" x14ac:dyDescent="0.3"/>
    <row r="461" ht="18.649999999999999" customHeight="1" x14ac:dyDescent="0.3"/>
    <row r="462" ht="18.649999999999999" customHeight="1" x14ac:dyDescent="0.3"/>
    <row r="463" ht="18.649999999999999" customHeight="1" x14ac:dyDescent="0.3"/>
    <row r="464" ht="18.649999999999999" customHeight="1" x14ac:dyDescent="0.3"/>
    <row r="465" ht="18.649999999999999" customHeight="1" x14ac:dyDescent="0.3"/>
    <row r="466" ht="18.649999999999999" customHeight="1" x14ac:dyDescent="0.3"/>
    <row r="467" ht="18.649999999999999" customHeight="1" x14ac:dyDescent="0.3"/>
    <row r="468" ht="18.649999999999999" customHeight="1" x14ac:dyDescent="0.3"/>
    <row r="469" ht="18.649999999999999" customHeight="1" x14ac:dyDescent="0.3"/>
    <row r="470" ht="18.649999999999999" customHeight="1" x14ac:dyDescent="0.3"/>
    <row r="471" ht="18.649999999999999" customHeight="1" x14ac:dyDescent="0.3"/>
    <row r="472" ht="18.649999999999999" customHeight="1" x14ac:dyDescent="0.3"/>
    <row r="473" ht="18.649999999999999" customHeight="1" x14ac:dyDescent="0.3"/>
    <row r="474" ht="18.649999999999999" customHeight="1" x14ac:dyDescent="0.3"/>
    <row r="475" ht="18.649999999999999" customHeight="1" x14ac:dyDescent="0.3"/>
    <row r="476" ht="18.649999999999999" customHeight="1" x14ac:dyDescent="0.3"/>
    <row r="477" ht="18.649999999999999" customHeight="1" x14ac:dyDescent="0.3"/>
    <row r="478" ht="18.649999999999999" customHeight="1" x14ac:dyDescent="0.3"/>
    <row r="479" ht="18.649999999999999" customHeight="1" x14ac:dyDescent="0.3"/>
    <row r="480" ht="18.649999999999999" customHeight="1" x14ac:dyDescent="0.3"/>
    <row r="481" ht="18.649999999999999" customHeight="1" x14ac:dyDescent="0.3"/>
    <row r="482" ht="18.649999999999999" customHeight="1" x14ac:dyDescent="0.3"/>
    <row r="483" ht="18.649999999999999" customHeight="1" x14ac:dyDescent="0.3"/>
    <row r="484" ht="18.649999999999999" customHeight="1" x14ac:dyDescent="0.3"/>
    <row r="485" ht="18.649999999999999" customHeight="1" x14ac:dyDescent="0.3"/>
    <row r="486" ht="18.649999999999999" customHeight="1" x14ac:dyDescent="0.3"/>
    <row r="487" ht="18.649999999999999" customHeight="1" x14ac:dyDescent="0.3"/>
    <row r="488" ht="18.649999999999999" customHeight="1" x14ac:dyDescent="0.3"/>
    <row r="489" ht="18.649999999999999" customHeight="1" x14ac:dyDescent="0.3"/>
    <row r="490" ht="18.649999999999999" customHeight="1" x14ac:dyDescent="0.3"/>
    <row r="491" ht="18.649999999999999" customHeight="1" x14ac:dyDescent="0.3"/>
    <row r="492" ht="18.649999999999999" customHeight="1" x14ac:dyDescent="0.3"/>
    <row r="493" ht="18.649999999999999" customHeight="1" x14ac:dyDescent="0.3"/>
    <row r="494" ht="18.649999999999999" customHeight="1" x14ac:dyDescent="0.3"/>
  </sheetData>
  <dataValidations count="1">
    <dataValidation type="list" allowBlank="1" showInputMessage="1" showErrorMessage="1" sqref="B2:B10" xr:uid="{C71AAC54-F086-4B7F-BE7D-51479AD3D08F}">
      <formula1>Categories</formula1>
    </dataValidation>
  </dataValidations>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30" id="{00000000-000E-0000-0000-000003000000}">
            <x14:iconSet iconSet="3Arrows" custom="1">
              <x14:cfvo type="percent">
                <xm:f>0</xm:f>
              </x14:cfvo>
              <x14:cfvo type="num">
                <xm:f>0</xm:f>
              </x14:cfvo>
              <x14:cfvo type="num" gte="0">
                <xm:f>0</xm:f>
              </x14:cfvo>
              <x14:cfIcon iconSet="3Arrows" iconId="0"/>
              <x14:cfIcon iconSet="3Arrows" iconId="1"/>
              <x14:cfIcon iconSet="3Arrows" iconId="2"/>
            </x14:iconSet>
          </x14:cfRule>
          <xm:sqref>F2</xm:sqref>
        </x14:conditionalFormatting>
        <x14:conditionalFormatting xmlns:xm="http://schemas.microsoft.com/office/excel/2006/main">
          <x14:cfRule type="iconSet" priority="26" id="{AB3EE918-337B-421C-8AC8-2BAC8B16AC70}">
            <x14:iconSet iconSet="3Arrows" custom="1">
              <x14:cfvo type="percent">
                <xm:f>0</xm:f>
              </x14:cfvo>
              <x14:cfvo type="num">
                <xm:f>0</xm:f>
              </x14:cfvo>
              <x14:cfvo type="num" gte="0">
                <xm:f>0</xm:f>
              </x14:cfvo>
              <x14:cfIcon iconSet="3Arrows" iconId="0"/>
              <x14:cfIcon iconSet="3Arrows" iconId="1"/>
              <x14:cfIcon iconSet="3Arrows" iconId="2"/>
            </x14:iconSet>
          </x14:cfRule>
          <xm:sqref>F3</xm:sqref>
        </x14:conditionalFormatting>
        <x14:conditionalFormatting xmlns:xm="http://schemas.microsoft.com/office/excel/2006/main">
          <x14:cfRule type="iconSet" priority="22" id="{5143BAC7-D202-49FD-98D5-86399E163B44}">
            <x14:iconSet iconSet="3Arrows" custom="1">
              <x14:cfvo type="percent">
                <xm:f>0</xm:f>
              </x14:cfvo>
              <x14:cfvo type="num">
                <xm:f>0</xm:f>
              </x14:cfvo>
              <x14:cfvo type="num" gte="0">
                <xm:f>0</xm:f>
              </x14:cfvo>
              <x14:cfIcon iconSet="3Arrows" iconId="0"/>
              <x14:cfIcon iconSet="3Arrows" iconId="1"/>
              <x14:cfIcon iconSet="3Arrows" iconId="2"/>
            </x14:iconSet>
          </x14:cfRule>
          <xm:sqref>F4</xm:sqref>
        </x14:conditionalFormatting>
        <x14:conditionalFormatting xmlns:xm="http://schemas.microsoft.com/office/excel/2006/main">
          <x14:cfRule type="iconSet" priority="21" id="{5DD71B26-1730-4C49-998C-CFEEF58C6F4E}">
            <x14:iconSet iconSet="3Arrows" custom="1">
              <x14:cfvo type="percent">
                <xm:f>0</xm:f>
              </x14:cfvo>
              <x14:cfvo type="num">
                <xm:f>0</xm:f>
              </x14:cfvo>
              <x14:cfvo type="num" gte="0">
                <xm:f>0</xm:f>
              </x14:cfvo>
              <x14:cfIcon iconSet="3Arrows" iconId="0"/>
              <x14:cfIcon iconSet="3Arrows" iconId="1"/>
              <x14:cfIcon iconSet="3Arrows" iconId="2"/>
            </x14:iconSet>
          </x14:cfRule>
          <xm:sqref>F5</xm:sqref>
        </x14:conditionalFormatting>
        <x14:conditionalFormatting xmlns:xm="http://schemas.microsoft.com/office/excel/2006/main">
          <x14:cfRule type="iconSet" priority="9" id="{F507D7F8-F2B3-4BC0-A628-680A6EAF4B94}">
            <x14:iconSet iconSet="3Arrows" custom="1">
              <x14:cfvo type="percent">
                <xm:f>0</xm:f>
              </x14:cfvo>
              <x14:cfvo type="num">
                <xm:f>0</xm:f>
              </x14:cfvo>
              <x14:cfvo type="num" gte="0">
                <xm:f>0</xm:f>
              </x14:cfvo>
              <x14:cfIcon iconSet="3Arrows" iconId="0"/>
              <x14:cfIcon iconSet="3Arrows" iconId="1"/>
              <x14:cfIcon iconSet="3Arrows" iconId="2"/>
            </x14:iconSet>
          </x14:cfRule>
          <xm:sqref>F6:G6</xm:sqref>
        </x14:conditionalFormatting>
        <x14:conditionalFormatting xmlns:xm="http://schemas.microsoft.com/office/excel/2006/main">
          <x14:cfRule type="iconSet" priority="8" id="{9BDE8615-85BF-4D69-A39E-BCA95B7AD32F}">
            <x14:iconSet iconSet="3Arrows" custom="1">
              <x14:cfvo type="percent">
                <xm:f>0</xm:f>
              </x14:cfvo>
              <x14:cfvo type="num">
                <xm:f>0</xm:f>
              </x14:cfvo>
              <x14:cfvo type="num" gte="0">
                <xm:f>0</xm:f>
              </x14:cfvo>
              <x14:cfIcon iconSet="3Arrows" iconId="0"/>
              <x14:cfIcon iconSet="3Arrows" iconId="1"/>
              <x14:cfIcon iconSet="3Arrows" iconId="2"/>
            </x14:iconSet>
          </x14:cfRule>
          <xm:sqref>F7:G7</xm:sqref>
        </x14:conditionalFormatting>
        <x14:conditionalFormatting xmlns:xm="http://schemas.microsoft.com/office/excel/2006/main">
          <x14:cfRule type="iconSet" priority="7" id="{64240055-9CF1-42DE-8962-14D0D43B4E4A}">
            <x14:iconSet iconSet="3Arrows" custom="1">
              <x14:cfvo type="percent">
                <xm:f>0</xm:f>
              </x14:cfvo>
              <x14:cfvo type="num">
                <xm:f>0</xm:f>
              </x14:cfvo>
              <x14:cfvo type="num" gte="0">
                <xm:f>0</xm:f>
              </x14:cfvo>
              <x14:cfIcon iconSet="3Arrows" iconId="0"/>
              <x14:cfIcon iconSet="3Arrows" iconId="1"/>
              <x14:cfIcon iconSet="3Arrows" iconId="2"/>
            </x14:iconSet>
          </x14:cfRule>
          <xm:sqref>F8:G8</xm:sqref>
        </x14:conditionalFormatting>
        <x14:conditionalFormatting xmlns:xm="http://schemas.microsoft.com/office/excel/2006/main">
          <x14:cfRule type="iconSet" priority="6" id="{741F0CBD-29B7-4B23-BD96-5922060AD0B6}">
            <x14:iconSet iconSet="3Arrows" custom="1">
              <x14:cfvo type="percent">
                <xm:f>0</xm:f>
              </x14:cfvo>
              <x14:cfvo type="num">
                <xm:f>0</xm:f>
              </x14:cfvo>
              <x14:cfvo type="num" gte="0">
                <xm:f>0</xm:f>
              </x14:cfvo>
              <x14:cfIcon iconSet="3Arrows" iconId="0"/>
              <x14:cfIcon iconSet="3Arrows" iconId="1"/>
              <x14:cfIcon iconSet="3Arrows" iconId="2"/>
            </x14:iconSet>
          </x14:cfRule>
          <xm:sqref>F9:G9</xm:sqref>
        </x14:conditionalFormatting>
        <x14:conditionalFormatting xmlns:xm="http://schemas.microsoft.com/office/excel/2006/main">
          <x14:cfRule type="iconSet" priority="5" id="{5A0F9123-D1E8-42C0-8F7A-73A105A5C87F}">
            <x14:iconSet iconSet="3Arrows" custom="1">
              <x14:cfvo type="percent">
                <xm:f>0</xm:f>
              </x14:cfvo>
              <x14:cfvo type="num">
                <xm:f>0</xm:f>
              </x14:cfvo>
              <x14:cfvo type="num" gte="0">
                <xm:f>0</xm:f>
              </x14:cfvo>
              <x14:cfIcon iconSet="3Arrows" iconId="0"/>
              <x14:cfIcon iconSet="3Arrows" iconId="1"/>
              <x14:cfIcon iconSet="3Arrows" iconId="2"/>
            </x14:iconSet>
          </x14:cfRule>
          <xm:sqref>F10:G10</xm:sqref>
        </x14:conditionalFormatting>
        <x14:conditionalFormatting xmlns:xm="http://schemas.microsoft.com/office/excel/2006/main">
          <x14:cfRule type="iconSet" priority="4" id="{C5696253-86C9-46C0-9309-8256BBAF07B5}">
            <x14:iconSet iconSet="3Arrows" custom="1">
              <x14:cfvo type="percent">
                <xm:f>0</xm:f>
              </x14:cfvo>
              <x14:cfvo type="num">
                <xm:f>0</xm:f>
              </x14:cfvo>
              <x14:cfvo type="num" gte="0">
                <xm:f>0</xm:f>
              </x14:cfvo>
              <x14:cfIcon iconSet="3Arrows" iconId="0"/>
              <x14:cfIcon iconSet="3Arrows" iconId="1"/>
              <x14:cfIcon iconSet="3Arrows" iconId="2"/>
            </x14:iconSet>
          </x14:cfRule>
          <xm:sqref>K2</xm:sqref>
        </x14:conditionalFormatting>
        <x14:conditionalFormatting xmlns:xm="http://schemas.microsoft.com/office/excel/2006/main">
          <x14:cfRule type="iconSet" priority="2" id="{90C5BF70-1DE0-4886-A35C-3BCD3C6B9E46}">
            <x14:iconSet iconSet="3Arrows" custom="1">
              <x14:cfvo type="percent">
                <xm:f>0</xm:f>
              </x14:cfvo>
              <x14:cfvo type="num">
                <xm:f>0</xm:f>
              </x14:cfvo>
              <x14:cfvo type="num" gte="0">
                <xm:f>0</xm:f>
              </x14:cfvo>
              <x14:cfIcon iconSet="3Arrows" iconId="0"/>
              <x14:cfIcon iconSet="3Arrows" iconId="1"/>
              <x14:cfIcon iconSet="3Arrows" iconId="2"/>
            </x14:iconSet>
          </x14:cfRule>
          <xm:sqref>K3</xm:sqref>
        </x14:conditionalFormatting>
        <x14:conditionalFormatting xmlns:xm="http://schemas.microsoft.com/office/excel/2006/main">
          <x14:cfRule type="iconSet" priority="32" id="{5FDB5CAE-5D50-4DAA-B5A4-9F20FE8D8CC5}">
            <x14:iconSet iconSet="3Arrows" custom="1">
              <x14:cfvo type="percent">
                <xm:f>0</xm:f>
              </x14:cfvo>
              <x14:cfvo type="num">
                <xm:f>0</xm:f>
              </x14:cfvo>
              <x14:cfvo type="num" gte="0">
                <xm:f>0</xm:f>
              </x14:cfvo>
              <x14:cfIcon iconSet="3Arrows" iconId="0"/>
              <x14:cfIcon iconSet="3Arrows" iconId="1"/>
              <x14:cfIcon iconSet="3Arrows" iconId="2"/>
            </x14:iconSet>
          </x14:cfRule>
          <xm:sqref>K4:K5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DD150-D191-4077-A77B-D0DFDD655882}">
  <sheetPr>
    <tabColor theme="4" tint="0.39997558519241921"/>
  </sheetPr>
  <dimension ref="A1:I21"/>
  <sheetViews>
    <sheetView showGridLines="0" tabSelected="1" topLeftCell="A23" zoomScaleNormal="100" workbookViewId="0">
      <selection activeCell="B25" sqref="B25"/>
    </sheetView>
  </sheetViews>
  <sheetFormatPr defaultRowHeight="14" x14ac:dyDescent="0.3"/>
  <cols>
    <col min="1" max="1" width="26.140625" customWidth="1"/>
    <col min="2" max="2" width="11.42578125" bestFit="1" customWidth="1"/>
    <col min="3" max="3" width="10.28515625" bestFit="1" customWidth="1"/>
    <col min="4" max="4" width="8.78515625" bestFit="1" customWidth="1"/>
    <col min="5" max="5" width="11.7109375" bestFit="1" customWidth="1"/>
    <col min="6" max="6" width="11.42578125" bestFit="1" customWidth="1"/>
    <col min="7" max="7" width="12.28515625" bestFit="1" customWidth="1"/>
    <col min="8" max="8" width="12.78515625" customWidth="1"/>
    <col min="9" max="9" width="13" bestFit="1" customWidth="1"/>
  </cols>
  <sheetData>
    <row r="1" spans="1:1" ht="21.5" thickBot="1" x14ac:dyDescent="0.55000000000000004">
      <c r="A1" s="1" t="s">
        <v>7</v>
      </c>
    </row>
    <row r="17" spans="1:9" ht="15.5" x14ac:dyDescent="0.35">
      <c r="A17" s="11" t="s">
        <v>1</v>
      </c>
      <c r="B17" s="11" t="s">
        <v>12</v>
      </c>
      <c r="C17" s="11" t="s">
        <v>20</v>
      </c>
      <c r="D17" s="11" t="s">
        <v>8</v>
      </c>
      <c r="E17" s="11" t="s">
        <v>9</v>
      </c>
      <c r="F17" s="11" t="s">
        <v>10</v>
      </c>
      <c r="G17" s="11" t="s">
        <v>14</v>
      </c>
      <c r="H17" s="11" t="s">
        <v>5</v>
      </c>
      <c r="I17" s="11" t="s">
        <v>21</v>
      </c>
    </row>
    <row r="18" spans="1:9" x14ac:dyDescent="0.3">
      <c r="A18" s="19" t="s">
        <v>17</v>
      </c>
      <c r="B18" s="22">
        <v>0.35</v>
      </c>
      <c r="C18" s="12">
        <f>IFERROR(G18/SUBTOTAL(109,TableAssetAllocation[Investment]),"")</f>
        <v>0.36543209876543209</v>
      </c>
      <c r="D18" s="13">
        <f>IFERROR(H18/SUBTOTAL(109,TableAssetAllocation[Value]),"")</f>
        <v>0.27628580394533236</v>
      </c>
      <c r="E18" s="3">
        <f t="shared" ref="E18:E21" si="0">C18 - B18</f>
        <v>1.5432098765432112E-2</v>
      </c>
      <c r="F18" s="3">
        <f t="shared" ref="F18:F21" si="1">D18 - B18</f>
        <v>-7.3714196054667613E-2</v>
      </c>
      <c r="G18" s="15">
        <f>SUMIF(TablePortfolio[Category], A18, TablePortfolio[Investment])</f>
        <v>296000</v>
      </c>
      <c r="H18" s="15">
        <f>SUMIF(TablePortfolio[Category], A18, TablePortfolio[Value])</f>
        <v>638310</v>
      </c>
      <c r="I18" s="3">
        <f t="shared" ref="I18:I21" si="2">(((H18 - G18 ) / G18) )</f>
        <v>1.1564527027027027</v>
      </c>
    </row>
    <row r="19" spans="1:9" x14ac:dyDescent="0.3">
      <c r="A19" s="19" t="s">
        <v>22</v>
      </c>
      <c r="B19" s="22">
        <v>0.15</v>
      </c>
      <c r="C19" s="12">
        <f>IFERROR(G19/SUBTOTAL(109,TableAssetAllocation[Investment]),"")</f>
        <v>0.20061728395061729</v>
      </c>
      <c r="D19" s="13">
        <f>IFERROR(H19/SUBTOTAL(109,TableAssetAllocation[Value]),"")</f>
        <v>0.19404196379297284</v>
      </c>
      <c r="E19" s="3">
        <f t="shared" si="0"/>
        <v>5.0617283950617292E-2</v>
      </c>
      <c r="F19" s="3">
        <f t="shared" si="1"/>
        <v>4.4041963792972844E-2</v>
      </c>
      <c r="G19" s="15">
        <f>SUMIF(TablePortfolio[Category], A19, TablePortfolio[Investment])</f>
        <v>162500</v>
      </c>
      <c r="H19" s="15">
        <f>SUMIF(TablePortfolio[Category], A19, TablePortfolio[Value])</f>
        <v>448300</v>
      </c>
      <c r="I19" s="3">
        <f t="shared" si="2"/>
        <v>1.7587692307692309</v>
      </c>
    </row>
    <row r="20" spans="1:9" x14ac:dyDescent="0.3">
      <c r="A20" s="19" t="s">
        <v>16</v>
      </c>
      <c r="B20" s="22">
        <v>0.25</v>
      </c>
      <c r="C20" s="12">
        <f>IFERROR(G20/SUBTOTAL(109,TableAssetAllocation[Investment]),"")</f>
        <v>0.24691358024691357</v>
      </c>
      <c r="D20" s="20">
        <f>IFERROR(H20/SUBTOTAL(109,TableAssetAllocation[Value]),"")</f>
        <v>0.30893056171750727</v>
      </c>
      <c r="E20" s="3">
        <f t="shared" si="0"/>
        <v>-3.0864197530864335E-3</v>
      </c>
      <c r="F20" s="3">
        <f t="shared" si="1"/>
        <v>5.8930561717507268E-2</v>
      </c>
      <c r="G20" s="15">
        <f>SUMIF(TablePortfolio[Category], A20, TablePortfolio[Investment])</f>
        <v>200000</v>
      </c>
      <c r="H20" s="15">
        <f>SUMIF(TablePortfolio[Category], A20, TablePortfolio[Value])</f>
        <v>713730</v>
      </c>
      <c r="I20" s="3">
        <f t="shared" si="2"/>
        <v>2.5686499999999999</v>
      </c>
    </row>
    <row r="21" spans="1:9" x14ac:dyDescent="0.3">
      <c r="A21" s="19" t="s">
        <v>18</v>
      </c>
      <c r="B21" s="22">
        <v>0.25</v>
      </c>
      <c r="C21" s="12">
        <f>IFERROR(G21/SUBTOTAL(109,TableAssetAllocation[Investment]),"")</f>
        <v>0.18703703703703703</v>
      </c>
      <c r="D21" s="20">
        <f>IFERROR(H21/SUBTOTAL(109,TableAssetAllocation[Value]),"")</f>
        <v>0.2207416705441875</v>
      </c>
      <c r="E21" s="3">
        <f t="shared" si="0"/>
        <v>-6.2962962962962971E-2</v>
      </c>
      <c r="F21" s="3">
        <f t="shared" si="1"/>
        <v>-2.9258329455812498E-2</v>
      </c>
      <c r="G21" s="15">
        <f>SUMIF(TablePortfolio[Category], A21, TablePortfolio[Investment])</f>
        <v>151500</v>
      </c>
      <c r="H21" s="15">
        <f>SUMIF(TablePortfolio[Category], A21, TablePortfolio[Value])</f>
        <v>509985</v>
      </c>
      <c r="I21" s="3">
        <f t="shared" si="2"/>
        <v>2.3662376237623763</v>
      </c>
    </row>
  </sheetData>
  <pageMargins left="0.7" right="0.7" top="0.75" bottom="0.75" header="0.3" footer="0.3"/>
  <pageSetup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14" id="{854CEBEE-72C9-42BA-809C-A8C9DE689618}">
            <x14:iconSet iconSet="3Arrows" custom="1">
              <x14:cfvo type="percent">
                <xm:f>0</xm:f>
              </x14:cfvo>
              <x14:cfvo type="num">
                <xm:f>0</xm:f>
              </x14:cfvo>
              <x14:cfvo type="num" gte="0">
                <xm:f>0</xm:f>
              </x14:cfvo>
              <x14:cfIcon iconSet="3Arrows" iconId="0"/>
              <x14:cfIcon iconSet="3Arrows" iconId="1"/>
              <x14:cfIcon iconSet="3Arrows" iconId="2"/>
            </x14:iconSet>
          </x14:cfRule>
          <xm:sqref>E18</xm:sqref>
        </x14:conditionalFormatting>
        <x14:conditionalFormatting xmlns:xm="http://schemas.microsoft.com/office/excel/2006/main">
          <x14:cfRule type="iconSet" priority="13" id="{3872BA9F-FBC4-450A-A445-40C7451DAC88}">
            <x14:iconSet iconSet="3Arrows" custom="1">
              <x14:cfvo type="percent">
                <xm:f>0</xm:f>
              </x14:cfvo>
              <x14:cfvo type="num">
                <xm:f>0</xm:f>
              </x14:cfvo>
              <x14:cfvo type="num" gte="0">
                <xm:f>0</xm:f>
              </x14:cfvo>
              <x14:cfIcon iconSet="3Arrows" iconId="0"/>
              <x14:cfIcon iconSet="3Arrows" iconId="1"/>
              <x14:cfIcon iconSet="3Arrows" iconId="2"/>
            </x14:iconSet>
          </x14:cfRule>
          <xm:sqref>F18</xm:sqref>
        </x14:conditionalFormatting>
        <x14:conditionalFormatting xmlns:xm="http://schemas.microsoft.com/office/excel/2006/main">
          <x14:cfRule type="iconSet" priority="8" id="{D4974FD3-FF9F-47CC-8451-E16FEE74E5A6}">
            <x14:iconSet iconSet="3Arrows" custom="1">
              <x14:cfvo type="percent">
                <xm:f>0</xm:f>
              </x14:cfvo>
              <x14:cfvo type="num">
                <xm:f>0</xm:f>
              </x14:cfvo>
              <x14:cfvo type="num" gte="0">
                <xm:f>0</xm:f>
              </x14:cfvo>
              <x14:cfIcon iconSet="3Arrows" iconId="0"/>
              <x14:cfIcon iconSet="3Arrows" iconId="1"/>
              <x14:cfIcon iconSet="3Arrows" iconId="2"/>
            </x14:iconSet>
          </x14:cfRule>
          <xm:sqref>I18</xm:sqref>
        </x14:conditionalFormatting>
        <x14:conditionalFormatting xmlns:xm="http://schemas.microsoft.com/office/excel/2006/main">
          <x14:cfRule type="iconSet" priority="6" id="{ED7C2FB3-23D0-443E-B691-8DA838F82FC6}">
            <x14:iconSet iconSet="3Arrows" custom="1">
              <x14:cfvo type="percent">
                <xm:f>0</xm:f>
              </x14:cfvo>
              <x14:cfvo type="num">
                <xm:f>0</xm:f>
              </x14:cfvo>
              <x14:cfvo type="num" gte="0">
                <xm:f>0</xm:f>
              </x14:cfvo>
              <x14:cfIcon iconSet="3Arrows" iconId="0"/>
              <x14:cfIcon iconSet="3Arrows" iconId="1"/>
              <x14:cfIcon iconSet="3Arrows" iconId="2"/>
            </x14:iconSet>
          </x14:cfRule>
          <xm:sqref>I19</xm:sqref>
        </x14:conditionalFormatting>
        <x14:conditionalFormatting xmlns:xm="http://schemas.microsoft.com/office/excel/2006/main">
          <x14:cfRule type="iconSet" priority="3" id="{14FF6A1D-B22E-46BC-9A7C-76024A2B1818}">
            <x14:iconSet iconSet="3Arrows" custom="1">
              <x14:cfvo type="percent">
                <xm:f>0</xm:f>
              </x14:cfvo>
              <x14:cfvo type="num">
                <xm:f>0</xm:f>
              </x14:cfvo>
              <x14:cfvo type="num" gte="0">
                <xm:f>0</xm:f>
              </x14:cfvo>
              <x14:cfIcon iconSet="3Arrows" iconId="0"/>
              <x14:cfIcon iconSet="3Arrows" iconId="1"/>
              <x14:cfIcon iconSet="3Arrows" iconId="2"/>
            </x14:iconSet>
          </x14:cfRule>
          <xm:sqref>I20</xm:sqref>
        </x14:conditionalFormatting>
        <x14:conditionalFormatting xmlns:xm="http://schemas.microsoft.com/office/excel/2006/main">
          <x14:cfRule type="iconSet" priority="2" id="{3D5A7D9C-4FED-41DA-8FE8-3A79E7465BBC}">
            <x14:iconSet iconSet="3Arrows" custom="1">
              <x14:cfvo type="percent">
                <xm:f>0</xm:f>
              </x14:cfvo>
              <x14:cfvo type="num">
                <xm:f>0</xm:f>
              </x14:cfvo>
              <x14:cfvo type="num" gte="0">
                <xm:f>0</xm:f>
              </x14:cfvo>
              <x14:cfIcon iconSet="3Arrows" iconId="0"/>
              <x14:cfIcon iconSet="3Arrows" iconId="1"/>
              <x14:cfIcon iconSet="3Arrows" iconId="2"/>
            </x14:iconSet>
          </x14:cfRule>
          <xm:sqref>I21</xm:sqref>
        </x14:conditionalFormatting>
        <x14:conditionalFormatting xmlns:xm="http://schemas.microsoft.com/office/excel/2006/main">
          <x14:cfRule type="iconSet" priority="38" id="{C3D6ECD4-6F2E-4439-99F0-DDA640983B32}">
            <x14:iconSet iconSet="3Arrows" custom="1">
              <x14:cfvo type="percent">
                <xm:f>0</xm:f>
              </x14:cfvo>
              <x14:cfvo type="num">
                <xm:f>0</xm:f>
              </x14:cfvo>
              <x14:cfvo type="num" gte="0">
                <xm:f>0</xm:f>
              </x14:cfvo>
              <x14:cfIcon iconSet="3Arrows" iconId="0"/>
              <x14:cfIcon iconSet="3Arrows" iconId="1"/>
              <x14:cfIcon iconSet="3Arrows" iconId="2"/>
            </x14:iconSet>
          </x14:cfRule>
          <xm:sqref>F19:F21</xm:sqref>
        </x14:conditionalFormatting>
        <x14:conditionalFormatting xmlns:xm="http://schemas.microsoft.com/office/excel/2006/main">
          <x14:cfRule type="iconSet" priority="39" id="{20208F64-80CF-4365-B77A-40CB4CAB7BD3}">
            <x14:iconSet iconSet="3Arrows" custom="1">
              <x14:cfvo type="percent">
                <xm:f>0</xm:f>
              </x14:cfvo>
              <x14:cfvo type="num">
                <xm:f>0</xm:f>
              </x14:cfvo>
              <x14:cfvo type="num" gte="0">
                <xm:f>0</xm:f>
              </x14:cfvo>
              <x14:cfIcon iconSet="3Arrows" iconId="0"/>
              <x14:cfIcon iconSet="3Arrows" iconId="1"/>
              <x14:cfIcon iconSet="3Arrows" iconId="2"/>
            </x14:iconSet>
          </x14:cfRule>
          <xm:sqref>E19:E21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1" ma:contentTypeDescription="Create a new document." ma:contentTypeScope="" ma:versionID="9677210f24a1be23c92c90fd886aa0aa">
  <xsd:schema xmlns:xsd="http://www.w3.org/2001/XMLSchema" xmlns:xs="http://www.w3.org/2001/XMLSchema" xmlns:p="http://schemas.microsoft.com/office/2006/metadata/properties" xmlns:ns2="71af3243-3dd4-4a8d-8c0d-dd76da1f02a5" xmlns:ns3="16c05727-aa75-4e4a-9b5f-8a80a1165891" targetNamespace="http://schemas.microsoft.com/office/2006/metadata/properties" ma:root="true" ma:fieldsID="60e05723c5c1908df1a1a4ebf11d344e" ns2:_="" ns3:_="">
    <xsd:import namespace="71af3243-3dd4-4a8d-8c0d-dd76da1f02a5"/>
    <xsd:import namespace="16c05727-aa75-4e4a-9b5f-8a80a1165891"/>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ediaServiceKeyPoints xmlns="71af3243-3dd4-4a8d-8c0d-dd76da1f02a5" xsi:nil="true"/>
  </documentManagement>
</p:properties>
</file>

<file path=customXml/itemProps1.xml><?xml version="1.0" encoding="utf-8"?>
<ds:datastoreItem xmlns:ds="http://schemas.openxmlformats.org/officeDocument/2006/customXml" ds:itemID="{0AA02C0B-5777-499A-80B9-8156601ACB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af3243-3dd4-4a8d-8c0d-dd76da1f02a5"/>
    <ds:schemaRef ds:uri="16c05727-aa75-4e4a-9b5f-8a80a11658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B1B9955-523A-43FE-8813-0F36D488BD17}">
  <ds:schemaRefs>
    <ds:schemaRef ds:uri="http://schemas.microsoft.com/sharepoint/v3/contenttype/forms"/>
  </ds:schemaRefs>
</ds:datastoreItem>
</file>

<file path=customXml/itemProps3.xml><?xml version="1.0" encoding="utf-8"?>
<ds:datastoreItem xmlns:ds="http://schemas.openxmlformats.org/officeDocument/2006/customXml" ds:itemID="{6A553027-9868-4A9C-B616-8EB44407F633}">
  <ds:schemaRefs>
    <ds:schemaRef ds:uri="http://purl.org/dc/elements/1.1/"/>
    <ds:schemaRef ds:uri="http://schemas.microsoft.com/office/2006/documentManagement/types"/>
    <ds:schemaRef ds:uri="http://schemas.microsoft.com/office/2006/metadata/properties"/>
    <ds:schemaRef ds:uri="http://purl.org/dc/terms/"/>
    <ds:schemaRef ds:uri="71af3243-3dd4-4a8d-8c0d-dd76da1f02a5"/>
    <ds:schemaRef ds:uri="http://purl.org/dc/dcmitype/"/>
    <ds:schemaRef ds:uri="http://www.w3.org/XML/1998/namespace"/>
    <ds:schemaRef ds:uri="16c05727-aa75-4e4a-9b5f-8a80a1165891"/>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Portfolio</vt:lpstr>
      <vt:lpstr>Asset Allocation</vt:lpstr>
      <vt:lpstr>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2019-06-05T01:09:36Z</dcterms:created>
  <dcterms:modified xsi:type="dcterms:W3CDTF">2019-11-11T12:02:25Z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