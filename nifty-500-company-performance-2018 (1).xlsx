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C:\Users\VishnuUpadhyay\Desktop\Share Market\"/>
    </mc:Choice>
  </mc:AlternateContent>
  <xr:revisionPtr revIDLastSave="0" documentId="13_ncr:1_{D1224050-FF72-43A6-8B2B-9354D52DFED2}" xr6:coauthVersionLast="36" xr6:coauthVersionMax="43" xr10:uidLastSave="{00000000-0000-0000-0000-000000000000}"/>
  <bookViews>
    <workbookView xWindow="-110" yWindow="-110" windowWidth="19420" windowHeight="10420" xr2:uid="{00000000-000D-0000-FFFF-FFFF00000000}"/>
  </bookViews>
  <sheets>
    <sheet name="NIfty 500" sheetId="3" r:id="rId1"/>
  </sheets>
  <definedNames>
    <definedName name="Durati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I3" i="3" l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2" i="3"/>
  <c r="G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D325" i="3" l="1"/>
  <c r="D66" i="3"/>
  <c r="D109" i="3"/>
  <c r="D394" i="3"/>
  <c r="D146" i="3"/>
  <c r="D303" i="3"/>
  <c r="D6" i="3"/>
  <c r="D86" i="3"/>
  <c r="D224" i="3"/>
  <c r="D100" i="3"/>
  <c r="D381" i="3"/>
  <c r="D409" i="3"/>
  <c r="D389" i="3"/>
  <c r="D379" i="3"/>
  <c r="D239" i="3"/>
  <c r="D447" i="3"/>
  <c r="D292" i="3"/>
  <c r="D154" i="3"/>
  <c r="D12" i="3"/>
  <c r="D323" i="3"/>
  <c r="D446" i="3"/>
  <c r="D293" i="3"/>
  <c r="D404" i="3"/>
  <c r="D32" i="3"/>
  <c r="D316" i="3"/>
  <c r="D274" i="3"/>
  <c r="D191" i="3"/>
  <c r="D110" i="3"/>
  <c r="D213" i="3"/>
  <c r="D414" i="3"/>
  <c r="D197" i="3"/>
  <c r="D321" i="3"/>
  <c r="D370" i="3"/>
  <c r="D75" i="3"/>
  <c r="D383" i="3"/>
  <c r="D329" i="3"/>
  <c r="D198" i="3"/>
  <c r="D396" i="3"/>
  <c r="D289" i="3"/>
  <c r="D125" i="3"/>
  <c r="D85" i="3"/>
  <c r="D64" i="3"/>
  <c r="D256" i="3"/>
  <c r="D424" i="3"/>
  <c r="D105" i="3"/>
  <c r="D304" i="3"/>
  <c r="D98" i="3"/>
  <c r="D112" i="3"/>
  <c r="D353" i="3"/>
  <c r="D206" i="3"/>
  <c r="D107" i="3"/>
  <c r="D10" i="3"/>
  <c r="D458" i="3"/>
  <c r="D386" i="3"/>
  <c r="D382" i="3"/>
  <c r="D334" i="3"/>
  <c r="D333" i="3"/>
  <c r="D77" i="3"/>
  <c r="D489" i="3"/>
  <c r="D479" i="3"/>
  <c r="D376" i="3"/>
  <c r="D252" i="3"/>
  <c r="D208" i="3"/>
  <c r="D229" i="3"/>
  <c r="D138" i="3"/>
  <c r="D392" i="3"/>
  <c r="D346" i="3"/>
  <c r="D324" i="3"/>
  <c r="D250" i="3"/>
  <c r="D249" i="3"/>
  <c r="D220" i="3"/>
  <c r="D207" i="3"/>
  <c r="D174" i="3"/>
  <c r="D173" i="3"/>
  <c r="D377" i="3"/>
  <c r="D248" i="3"/>
  <c r="D178" i="3"/>
  <c r="D151" i="3"/>
  <c r="D144" i="3"/>
  <c r="D463" i="3"/>
  <c r="D443" i="3"/>
  <c r="D407" i="3"/>
  <c r="D402" i="3"/>
  <c r="D322" i="3"/>
  <c r="D286" i="3"/>
  <c r="D226" i="3"/>
  <c r="D211" i="3"/>
  <c r="D177" i="3"/>
  <c r="D123" i="3"/>
  <c r="D91" i="3"/>
  <c r="D427" i="3"/>
  <c r="D410" i="3"/>
  <c r="D369" i="3"/>
  <c r="D340" i="3"/>
  <c r="D299" i="3"/>
  <c r="D205" i="3"/>
  <c r="D141" i="3"/>
  <c r="D80" i="3"/>
  <c r="D22" i="3"/>
  <c r="D387" i="3"/>
  <c r="D359" i="3"/>
  <c r="D328" i="3"/>
  <c r="D313" i="3"/>
  <c r="D295" i="3"/>
  <c r="D188" i="3"/>
  <c r="D87" i="3"/>
  <c r="D17" i="3"/>
  <c r="D484" i="3"/>
  <c r="D481" i="3"/>
  <c r="D456" i="3"/>
  <c r="D437" i="3"/>
  <c r="D310" i="3"/>
  <c r="D265" i="3"/>
  <c r="D242" i="3"/>
  <c r="D234" i="3"/>
  <c r="D204" i="3"/>
  <c r="D55" i="3"/>
  <c r="D449" i="3"/>
  <c r="D339" i="3"/>
  <c r="D336" i="3"/>
  <c r="D272" i="3"/>
  <c r="D240" i="3"/>
  <c r="D233" i="3"/>
  <c r="D215" i="3"/>
  <c r="D150" i="3"/>
  <c r="D136" i="3"/>
  <c r="D115" i="3"/>
  <c r="D46" i="3"/>
  <c r="D19" i="3"/>
  <c r="D468" i="3"/>
  <c r="D436" i="3"/>
  <c r="D431" i="3"/>
  <c r="D429" i="3"/>
  <c r="D358" i="3"/>
  <c r="D352" i="3"/>
  <c r="D344" i="3"/>
  <c r="D337" i="3"/>
  <c r="D330" i="3"/>
  <c r="D247" i="3"/>
  <c r="D209" i="3"/>
  <c r="D158" i="3"/>
  <c r="D122" i="3"/>
  <c r="D50" i="3"/>
  <c r="D28" i="3"/>
  <c r="D27" i="3"/>
  <c r="D483" i="3"/>
  <c r="D372" i="3"/>
  <c r="D363" i="3"/>
  <c r="D246" i="3"/>
  <c r="D235" i="3"/>
  <c r="D232" i="3"/>
  <c r="D166" i="3"/>
  <c r="D103" i="3"/>
  <c r="D425" i="3"/>
  <c r="D408" i="3"/>
  <c r="D357" i="3"/>
  <c r="D335" i="3"/>
  <c r="D270" i="3"/>
  <c r="D159" i="3"/>
  <c r="D61" i="3"/>
  <c r="D45" i="3"/>
  <c r="D44" i="3"/>
  <c r="D486" i="3"/>
  <c r="D227" i="3"/>
  <c r="D214" i="3"/>
  <c r="D196" i="3"/>
  <c r="D131" i="3"/>
  <c r="D490" i="3"/>
  <c r="D461" i="3"/>
  <c r="D374" i="3"/>
  <c r="D371" i="3"/>
  <c r="D355" i="3"/>
  <c r="D190" i="3"/>
  <c r="D162" i="3"/>
  <c r="D81" i="3"/>
  <c r="D467" i="3"/>
  <c r="D452" i="3"/>
  <c r="D435" i="3"/>
  <c r="D288" i="3"/>
  <c r="D244" i="3"/>
  <c r="D184" i="3"/>
  <c r="D127" i="3"/>
  <c r="D72" i="3"/>
  <c r="D43" i="3"/>
  <c r="D21" i="3"/>
  <c r="D445" i="3"/>
  <c r="D433" i="3"/>
  <c r="D223" i="3"/>
  <c r="D218" i="3"/>
  <c r="D171" i="3"/>
  <c r="D168" i="3"/>
  <c r="D118" i="3"/>
  <c r="D464" i="3"/>
  <c r="D415" i="3"/>
  <c r="D189" i="3"/>
  <c r="D73" i="3"/>
  <c r="D7" i="3"/>
  <c r="D257" i="3"/>
  <c r="D192" i="3"/>
  <c r="D101" i="3"/>
  <c r="D454" i="3"/>
  <c r="D271" i="3"/>
  <c r="D145" i="3"/>
  <c r="D82" i="3"/>
  <c r="D143" i="3"/>
  <c r="D68" i="3"/>
  <c r="D9" i="3"/>
  <c r="D3" i="3"/>
  <c r="D423" i="3"/>
  <c r="D216" i="3"/>
  <c r="D78" i="3"/>
  <c r="D152" i="3"/>
  <c r="D58" i="3"/>
  <c r="D487" i="3"/>
  <c r="D385" i="3"/>
  <c r="D262" i="3"/>
  <c r="D212" i="3"/>
  <c r="D390" i="3"/>
  <c r="D237" i="3"/>
  <c r="D194" i="3"/>
  <c r="D221" i="3"/>
  <c r="D140" i="3"/>
  <c r="D139" i="3"/>
  <c r="D97" i="3"/>
  <c r="D63" i="3"/>
  <c r="D104" i="3"/>
  <c r="D37" i="3"/>
  <c r="D397" i="3"/>
  <c r="D297" i="3"/>
  <c r="D264" i="3"/>
  <c r="D201" i="3"/>
  <c r="D439" i="3"/>
  <c r="D420" i="3"/>
  <c r="D413" i="3"/>
  <c r="D354" i="3"/>
  <c r="D245" i="3"/>
  <c r="D200" i="3"/>
  <c r="D421" i="3"/>
  <c r="D133" i="3"/>
  <c r="D84" i="3"/>
  <c r="D450" i="3"/>
  <c r="D277" i="3"/>
  <c r="D169" i="3"/>
  <c r="D134" i="3"/>
  <c r="D384" i="3"/>
  <c r="D395" i="3"/>
  <c r="D349" i="3"/>
  <c r="D203" i="3"/>
  <c r="D120" i="3"/>
  <c r="D331" i="3"/>
  <c r="D284" i="3"/>
  <c r="D251" i="3"/>
  <c r="D89" i="3"/>
  <c r="D124" i="3"/>
  <c r="D430" i="3"/>
  <c r="D380" i="3"/>
  <c r="D231" i="3"/>
  <c r="D225" i="3"/>
  <c r="D182" i="3"/>
  <c r="D320" i="3"/>
  <c r="D56" i="3"/>
  <c r="D307" i="3"/>
  <c r="D269" i="3"/>
  <c r="D465" i="3"/>
  <c r="D90" i="3"/>
  <c r="D222" i="3"/>
  <c r="D164" i="3"/>
  <c r="D267" i="3"/>
  <c r="D126" i="3"/>
  <c r="D38" i="3"/>
  <c r="D367" i="3"/>
  <c r="D93" i="3"/>
  <c r="D142" i="3"/>
  <c r="D273" i="3"/>
  <c r="D434" i="3"/>
  <c r="D342" i="3"/>
  <c r="D442" i="3"/>
  <c r="D51" i="3"/>
  <c r="D432" i="3"/>
  <c r="D243" i="3"/>
  <c r="D378" i="3"/>
  <c r="D315" i="3"/>
  <c r="D311" i="3"/>
  <c r="D25" i="3"/>
  <c r="D153" i="3"/>
  <c r="D148" i="3"/>
  <c r="D302" i="3"/>
  <c r="D135" i="3"/>
  <c r="D42" i="3"/>
  <c r="D401" i="3"/>
  <c r="D18" i="3"/>
  <c r="D157" i="3"/>
  <c r="D47" i="3"/>
  <c r="D326" i="3"/>
  <c r="D8" i="3"/>
  <c r="D428" i="3"/>
  <c r="D287" i="3"/>
  <c r="D193" i="3"/>
  <c r="D114" i="3"/>
  <c r="D76" i="3"/>
  <c r="D16" i="3"/>
  <c r="D360" i="3"/>
  <c r="D361" i="3"/>
  <c r="D199" i="3"/>
  <c r="D462" i="3"/>
  <c r="D217" i="3"/>
  <c r="D175" i="3"/>
  <c r="D448" i="3"/>
  <c r="D186" i="3"/>
  <c r="D393" i="3"/>
  <c r="D314" i="3"/>
  <c r="D113" i="3"/>
  <c r="D305" i="3"/>
  <c r="D172" i="3"/>
  <c r="D137" i="3"/>
  <c r="D36" i="3"/>
  <c r="D345" i="3"/>
  <c r="D368" i="3"/>
  <c r="D332" i="3"/>
  <c r="D99" i="3"/>
  <c r="D296" i="3"/>
  <c r="D282" i="3"/>
  <c r="D471" i="3"/>
  <c r="D298" i="3"/>
  <c r="D40" i="3"/>
  <c r="D121" i="3"/>
  <c r="D202" i="3"/>
  <c r="D388" i="3"/>
  <c r="D280" i="3"/>
  <c r="D279" i="3"/>
  <c r="D441" i="3"/>
  <c r="D470" i="3"/>
  <c r="D132" i="3"/>
  <c r="D319" i="3"/>
  <c r="D130" i="3"/>
  <c r="D285" i="3"/>
  <c r="D106" i="3"/>
  <c r="D365" i="3"/>
  <c r="D317" i="3"/>
  <c r="D117" i="3"/>
  <c r="D26" i="3"/>
  <c r="D119" i="3"/>
  <c r="D230" i="3"/>
  <c r="D488" i="3"/>
  <c r="D455" i="3"/>
  <c r="D406" i="3"/>
  <c r="D54" i="3"/>
  <c r="D416" i="3"/>
  <c r="D459" i="3"/>
  <c r="D57" i="3"/>
  <c r="D53" i="3"/>
  <c r="D95" i="3"/>
  <c r="D438" i="3"/>
  <c r="D161" i="3"/>
  <c r="D480" i="3"/>
  <c r="D179" i="3"/>
  <c r="D24" i="3"/>
  <c r="D327" i="3"/>
  <c r="D88" i="3"/>
  <c r="D5" i="3"/>
  <c r="D405" i="3"/>
  <c r="D375" i="3"/>
  <c r="D14" i="3"/>
  <c r="D351" i="3"/>
  <c r="D440" i="3"/>
  <c r="D255" i="3"/>
  <c r="D485" i="3"/>
  <c r="D426" i="3"/>
  <c r="D23" i="3"/>
  <c r="D466" i="3"/>
  <c r="D147" i="3"/>
  <c r="D167" i="3"/>
  <c r="D39" i="3"/>
  <c r="D347" i="3"/>
  <c r="D111" i="3"/>
  <c r="D261" i="3"/>
  <c r="D318" i="3"/>
  <c r="D236" i="3"/>
  <c r="D356" i="3"/>
  <c r="D348" i="3"/>
  <c r="D241" i="3"/>
  <c r="D343" i="3"/>
  <c r="D74" i="3"/>
  <c r="D67" i="3"/>
  <c r="D419" i="3"/>
  <c r="D96" i="3"/>
  <c r="D301" i="3"/>
  <c r="D294" i="3"/>
  <c r="D276" i="3"/>
  <c r="D149" i="3"/>
  <c r="D283" i="3"/>
  <c r="D366" i="3"/>
  <c r="D308" i="3"/>
  <c r="D11" i="3"/>
  <c r="D400" i="3"/>
  <c r="D92" i="3"/>
  <c r="D83" i="3"/>
  <c r="D70" i="3"/>
  <c r="D417" i="3"/>
  <c r="D108" i="3"/>
  <c r="D460" i="3"/>
  <c r="D403" i="3"/>
  <c r="D59" i="3"/>
  <c r="D291" i="3"/>
  <c r="D477" i="3"/>
  <c r="D482" i="3"/>
  <c r="D472" i="3"/>
  <c r="D129" i="3"/>
  <c r="D300" i="3"/>
  <c r="D187" i="3"/>
  <c r="D362" i="3"/>
  <c r="D102" i="3"/>
  <c r="D185" i="3"/>
  <c r="D418" i="3"/>
  <c r="D254" i="3"/>
  <c r="D60" i="3"/>
  <c r="D29" i="3"/>
  <c r="D183" i="3"/>
  <c r="D399" i="3"/>
  <c r="D181" i="3"/>
  <c r="D180" i="3"/>
  <c r="D341" i="3"/>
  <c r="D65" i="3"/>
  <c r="D79" i="3"/>
  <c r="D128" i="3"/>
  <c r="D62" i="3"/>
  <c r="D474" i="3"/>
  <c r="D69" i="3"/>
  <c r="D71" i="3"/>
  <c r="D160" i="3"/>
  <c r="D281" i="3"/>
  <c r="D33" i="3"/>
  <c r="D228" i="3"/>
  <c r="D48" i="3"/>
  <c r="D453" i="3"/>
  <c r="D373" i="3"/>
  <c r="D473" i="3"/>
  <c r="D411" i="3"/>
  <c r="D275" i="3"/>
  <c r="D2" i="3"/>
  <c r="D309" i="3"/>
  <c r="D290" i="3"/>
  <c r="D260" i="3"/>
  <c r="D476" i="3"/>
  <c r="D155" i="3"/>
  <c r="D35" i="3"/>
  <c r="D238" i="3"/>
  <c r="D475" i="3"/>
  <c r="D391" i="3"/>
  <c r="D94" i="3"/>
  <c r="D478" i="3"/>
  <c r="D263" i="3"/>
  <c r="D412" i="3"/>
  <c r="D219" i="3"/>
  <c r="D31" i="3"/>
  <c r="D268" i="3"/>
  <c r="D259" i="3"/>
  <c r="D422" i="3"/>
  <c r="D195" i="3"/>
  <c r="D312" i="3"/>
  <c r="D210" i="3"/>
  <c r="D49" i="3"/>
  <c r="D491" i="3"/>
  <c r="D278" i="3"/>
  <c r="D4" i="3"/>
  <c r="D338" i="3"/>
  <c r="D306" i="3"/>
  <c r="D165" i="3"/>
  <c r="D163" i="3"/>
  <c r="D52" i="3"/>
  <c r="D15" i="3"/>
  <c r="D266" i="3"/>
  <c r="D156" i="3"/>
  <c r="D170" i="3"/>
  <c r="D30" i="3"/>
  <c r="D13" i="3"/>
  <c r="D258" i="3"/>
  <c r="D444" i="3"/>
  <c r="D350" i="3"/>
  <c r="D116" i="3"/>
  <c r="D364" i="3"/>
  <c r="D20" i="3"/>
  <c r="D451" i="3"/>
  <c r="D253" i="3"/>
  <c r="D398" i="3"/>
  <c r="D176" i="3"/>
  <c r="D34" i="3"/>
  <c r="D457" i="3"/>
  <c r="D469" i="3"/>
  <c r="D41" i="3"/>
</calcChain>
</file>

<file path=xl/sharedStrings.xml><?xml version="1.0" encoding="utf-8"?>
<sst xmlns="http://schemas.openxmlformats.org/spreadsheetml/2006/main" count="499" uniqueCount="499">
  <si>
    <t>Start Year</t>
  </si>
  <si>
    <t>End Year</t>
  </si>
  <si>
    <t>Start Price</t>
  </si>
  <si>
    <t>End Price</t>
  </si>
  <si>
    <t>ADANIPORTS</t>
  </si>
  <si>
    <t>CUMMINSIND</t>
  </si>
  <si>
    <t>GLENMARK</t>
  </si>
  <si>
    <t>ASIANPAINT</t>
  </si>
  <si>
    <t>AMBUJACEM</t>
  </si>
  <si>
    <t>ADANIPOWER</t>
  </si>
  <si>
    <t>AXISBANK</t>
  </si>
  <si>
    <t>ABB</t>
  </si>
  <si>
    <t>TATAPOWER</t>
  </si>
  <si>
    <t>BAJAJ-AUTO</t>
  </si>
  <si>
    <t>PEL</t>
  </si>
  <si>
    <t>RPOWER</t>
  </si>
  <si>
    <t>BAJAJFINSV</t>
  </si>
  <si>
    <t>ACC</t>
  </si>
  <si>
    <t>AJANTPHARM</t>
  </si>
  <si>
    <t>BAJFINANCE</t>
  </si>
  <si>
    <t>CADILAHC</t>
  </si>
  <si>
    <t>DISHTV</t>
  </si>
  <si>
    <t>BHARTIARTL</t>
  </si>
  <si>
    <t>HINDZINC</t>
  </si>
  <si>
    <t>MUTHOOTFIN</t>
  </si>
  <si>
    <t>BPCL</t>
  </si>
  <si>
    <t>COLPAL</t>
  </si>
  <si>
    <t>IDBI</t>
  </si>
  <si>
    <t>CIPLA</t>
  </si>
  <si>
    <t>LICHSGFIN</t>
  </si>
  <si>
    <t>BIOCON</t>
  </si>
  <si>
    <t>COALINDIA</t>
  </si>
  <si>
    <t>PGHH</t>
  </si>
  <si>
    <t>NATIONALUM</t>
  </si>
  <si>
    <t>DRREDDY</t>
  </si>
  <si>
    <t>CONCOR</t>
  </si>
  <si>
    <t>CHOLAFIN</t>
  </si>
  <si>
    <t>EICHERMOT</t>
  </si>
  <si>
    <t>PETRONET</t>
  </si>
  <si>
    <t>GAIL</t>
  </si>
  <si>
    <t>HAVELLS</t>
  </si>
  <si>
    <t>NBCC</t>
  </si>
  <si>
    <t>GRASIM</t>
  </si>
  <si>
    <t>SIEMENS</t>
  </si>
  <si>
    <t>TATACHEM</t>
  </si>
  <si>
    <t>HCLTECH</t>
  </si>
  <si>
    <t>DABUR</t>
  </si>
  <si>
    <t>CASTROLIND</t>
  </si>
  <si>
    <t>HDFC</t>
  </si>
  <si>
    <t>BEL</t>
  </si>
  <si>
    <t>RBLBANK</t>
  </si>
  <si>
    <t>HDFCBANK</t>
  </si>
  <si>
    <t>BRITANNIA</t>
  </si>
  <si>
    <t>M&amp;MFIN</t>
  </si>
  <si>
    <t>HEROMOTOCO</t>
  </si>
  <si>
    <t>SUNTV</t>
  </si>
  <si>
    <t>BERGEPAINT</t>
  </si>
  <si>
    <t>HINDALCO</t>
  </si>
  <si>
    <t>AUROPHARMA</t>
  </si>
  <si>
    <t>TORNTPHARM</t>
  </si>
  <si>
    <t>HINDPETRO</t>
  </si>
  <si>
    <t>BHEL</t>
  </si>
  <si>
    <t>BANKINDIA</t>
  </si>
  <si>
    <t>HINDUNILVR</t>
  </si>
  <si>
    <t>SHREECEM</t>
  </si>
  <si>
    <t>TVSMOTOR</t>
  </si>
  <si>
    <t>IBULHSGFIN</t>
  </si>
  <si>
    <t>PIDILITIND</t>
  </si>
  <si>
    <t>FEDERALBNK</t>
  </si>
  <si>
    <t>ICICIBANK</t>
  </si>
  <si>
    <t>JSWSTEEL</t>
  </si>
  <si>
    <t>APOLLOTYRE</t>
  </si>
  <si>
    <t>INDUSINDBK</t>
  </si>
  <si>
    <t>ASHOKLEY</t>
  </si>
  <si>
    <t>IGL</t>
  </si>
  <si>
    <t>INFRATEL</t>
  </si>
  <si>
    <t>EMAMILTD</t>
  </si>
  <si>
    <t>ENGINERSIN</t>
  </si>
  <si>
    <t>INFY</t>
  </si>
  <si>
    <t>BANKBARODA</t>
  </si>
  <si>
    <t>IDFC</t>
  </si>
  <si>
    <t>IOC</t>
  </si>
  <si>
    <t>BOSCHLTD</t>
  </si>
  <si>
    <t>DIVISLAB</t>
  </si>
  <si>
    <t>ITC</t>
  </si>
  <si>
    <t>OIL</t>
  </si>
  <si>
    <t>EXIDEIND</t>
  </si>
  <si>
    <t>KOTAKBANK</t>
  </si>
  <si>
    <t>PFC</t>
  </si>
  <si>
    <t>JINDALSTEL</t>
  </si>
  <si>
    <t>LT</t>
  </si>
  <si>
    <t>L&amp;TFH</t>
  </si>
  <si>
    <t>RAMCOCEM</t>
  </si>
  <si>
    <t>LUPIN</t>
  </si>
  <si>
    <t>MRF</t>
  </si>
  <si>
    <t>GODREJIND</t>
  </si>
  <si>
    <t>M&amp;M</t>
  </si>
  <si>
    <t>RECLTD</t>
  </si>
  <si>
    <t>UNIONBANK</t>
  </si>
  <si>
    <t>MARUTI</t>
  </si>
  <si>
    <t>INDIGO</t>
  </si>
  <si>
    <t>MINDTREE</t>
  </si>
  <si>
    <t>NTPC</t>
  </si>
  <si>
    <t>GICRE</t>
  </si>
  <si>
    <t>MRPL</t>
  </si>
  <si>
    <t>ONGC</t>
  </si>
  <si>
    <t>IDEA</t>
  </si>
  <si>
    <t>SRF</t>
  </si>
  <si>
    <t>POWERGRID</t>
  </si>
  <si>
    <t>SBILIFE</t>
  </si>
  <si>
    <t>DHFL</t>
  </si>
  <si>
    <t>RELIANCE</t>
  </si>
  <si>
    <t>SAIL</t>
  </si>
  <si>
    <t>UBL</t>
  </si>
  <si>
    <t>SBIN</t>
  </si>
  <si>
    <t>NHPC</t>
  </si>
  <si>
    <t>BHARATFORG</t>
  </si>
  <si>
    <t>SUNPHARMA</t>
  </si>
  <si>
    <t>OFSS</t>
  </si>
  <si>
    <t>BALKRISIND</t>
  </si>
  <si>
    <t>TATAMOTORS</t>
  </si>
  <si>
    <t>SRTRANSFIN</t>
  </si>
  <si>
    <t>VOLTAS</t>
  </si>
  <si>
    <t>TATASTEEL</t>
  </si>
  <si>
    <t>MARICO</t>
  </si>
  <si>
    <t>APOLLOHOSP</t>
  </si>
  <si>
    <t>TCS</t>
  </si>
  <si>
    <t>PNB</t>
  </si>
  <si>
    <t>CANBK</t>
  </si>
  <si>
    <t>TECHM</t>
  </si>
  <si>
    <t>ICICIPRULI</t>
  </si>
  <si>
    <t>RELINFRA</t>
  </si>
  <si>
    <t>TITAN</t>
  </si>
  <si>
    <t>GODREJCP</t>
  </si>
  <si>
    <t>INDIANB</t>
  </si>
  <si>
    <t>ULTRACEMCO</t>
  </si>
  <si>
    <t>ABCAPITAL</t>
  </si>
  <si>
    <t>TATAGLOBAL</t>
  </si>
  <si>
    <t>UPL</t>
  </si>
  <si>
    <t>MCDOWELL-N</t>
  </si>
  <si>
    <t>GMRINFRA</t>
  </si>
  <si>
    <t>VEDL</t>
  </si>
  <si>
    <t>DMART</t>
  </si>
  <si>
    <t>WIPRO</t>
  </si>
  <si>
    <t>MOTHERSUMI</t>
  </si>
  <si>
    <t>PAGEIND</t>
  </si>
  <si>
    <t>YESBANK</t>
  </si>
  <si>
    <t>NMDC</t>
  </si>
  <si>
    <t>PCJEWELLER</t>
  </si>
  <si>
    <t>ZEEL</t>
  </si>
  <si>
    <t>DLF</t>
  </si>
  <si>
    <t>AMARAJABAT</t>
  </si>
  <si>
    <t>Company Name</t>
  </si>
  <si>
    <t>TTKPRESTIG</t>
  </si>
  <si>
    <t>AVANTIFEED</t>
  </si>
  <si>
    <t>RAJESHEXPO</t>
  </si>
  <si>
    <t>THERMAX</t>
  </si>
  <si>
    <t>KAJARIACER</t>
  </si>
  <si>
    <t>AEGISCHEM</t>
  </si>
  <si>
    <t>ASTRAL</t>
  </si>
  <si>
    <t>GUJFLUORO</t>
  </si>
  <si>
    <t>GREENPLY</t>
  </si>
  <si>
    <t>GRUH</t>
  </si>
  <si>
    <t>AARTIIND</t>
  </si>
  <si>
    <t>ZYDUSWELL</t>
  </si>
  <si>
    <t>BBTC</t>
  </si>
  <si>
    <t>IFBIND</t>
  </si>
  <si>
    <t>NATCOPHARM</t>
  </si>
  <si>
    <t>HONAUT</t>
  </si>
  <si>
    <t>SUPREMEIND</t>
  </si>
  <si>
    <t>KALPATPOWR</t>
  </si>
  <si>
    <t>KRBL</t>
  </si>
  <si>
    <t>ATUL</t>
  </si>
  <si>
    <t>KIOCL</t>
  </si>
  <si>
    <t>CUB</t>
  </si>
  <si>
    <t>SCHAEFFLER</t>
  </si>
  <si>
    <t>VINATIORGA</t>
  </si>
  <si>
    <t>JCHAC</t>
  </si>
  <si>
    <t>VIPIND</t>
  </si>
  <si>
    <t>KANSAINER</t>
  </si>
  <si>
    <t>3MINDIA</t>
  </si>
  <si>
    <t>LAXMIMACH</t>
  </si>
  <si>
    <t>VENKEYS</t>
  </si>
  <si>
    <t>RELAXO</t>
  </si>
  <si>
    <t>BATAINDIA</t>
  </si>
  <si>
    <t>IPCALAB</t>
  </si>
  <si>
    <t>GRAPHITE</t>
  </si>
  <si>
    <t>CARBORUNIV</t>
  </si>
  <si>
    <t>CANFINHOME</t>
  </si>
  <si>
    <t>VGUARD</t>
  </si>
  <si>
    <t>EXCELCROP</t>
  </si>
  <si>
    <t>CERA</t>
  </si>
  <si>
    <t>SHRIRAMCIT</t>
  </si>
  <si>
    <t>HEG</t>
  </si>
  <si>
    <t>BLUESTARCO</t>
  </si>
  <si>
    <t>JUBILANT</t>
  </si>
  <si>
    <t>SUNDRMFAST</t>
  </si>
  <si>
    <t>HERITGFOOD</t>
  </si>
  <si>
    <t>DCMSHRIRAM</t>
  </si>
  <si>
    <t>RADICO</t>
  </si>
  <si>
    <t>HEXAWARE</t>
  </si>
  <si>
    <t>MINDACORP</t>
  </si>
  <si>
    <t>WABCOINDIA</t>
  </si>
  <si>
    <t>VMART</t>
  </si>
  <si>
    <t>BLUEDART</t>
  </si>
  <si>
    <t>SKFINDIA</t>
  </si>
  <si>
    <t>TVSSRICHAK</t>
  </si>
  <si>
    <t>SUNDARMFIN</t>
  </si>
  <si>
    <t>CAPLIPOINT</t>
  </si>
  <si>
    <t>CRISIL</t>
  </si>
  <si>
    <t>ADANITRANS</t>
  </si>
  <si>
    <t>MPHASIS</t>
  </si>
  <si>
    <t>MINDAIND</t>
  </si>
  <si>
    <t>CYIENT</t>
  </si>
  <si>
    <t>CCL</t>
  </si>
  <si>
    <t>PHILIPCARB</t>
  </si>
  <si>
    <t>PRAJIND</t>
  </si>
  <si>
    <t>JAICORPLTD</t>
  </si>
  <si>
    <t>NBVENTURES</t>
  </si>
  <si>
    <t>KARURVYSYA</t>
  </si>
  <si>
    <t>GSKCONS</t>
  </si>
  <si>
    <t>GILLETTE</t>
  </si>
  <si>
    <t>APLAPOLLO</t>
  </si>
  <si>
    <t>SYMPHONY</t>
  </si>
  <si>
    <t>WHIRLPOOL</t>
  </si>
  <si>
    <t>JUBLFOOD</t>
  </si>
  <si>
    <t>PIIND</t>
  </si>
  <si>
    <t>AIAENG</t>
  </si>
  <si>
    <t>SOLARINDS</t>
  </si>
  <si>
    <t>NILKAMAL</t>
  </si>
  <si>
    <t>APLLTD</t>
  </si>
  <si>
    <t>VTL</t>
  </si>
  <si>
    <t>TATASPONGE</t>
  </si>
  <si>
    <t>BIRLACORPN</t>
  </si>
  <si>
    <t>SUDARSCHEM</t>
  </si>
  <si>
    <t>SONATSOFTW</t>
  </si>
  <si>
    <t>TRENT</t>
  </si>
  <si>
    <t>ELGIEQUIP</t>
  </si>
  <si>
    <t>EIDPARRY</t>
  </si>
  <si>
    <t>RALLIS</t>
  </si>
  <si>
    <t>MAGMA</t>
  </si>
  <si>
    <t>FCONSUMER</t>
  </si>
  <si>
    <t>NCC</t>
  </si>
  <si>
    <t>VAKRANGEE</t>
  </si>
  <si>
    <t>TEAMLEASE</t>
  </si>
  <si>
    <t>LTI</t>
  </si>
  <si>
    <t>LTTS</t>
  </si>
  <si>
    <t>SANOFI</t>
  </si>
  <si>
    <t>ICICIGI</t>
  </si>
  <si>
    <t>ENDURANCE</t>
  </si>
  <si>
    <t>BAJAJHLDNG</t>
  </si>
  <si>
    <t>MGL</t>
  </si>
  <si>
    <t>VBL</t>
  </si>
  <si>
    <t>LUXIND</t>
  </si>
  <si>
    <t>MERCK</t>
  </si>
  <si>
    <t>DBL</t>
  </si>
  <si>
    <t>PFIZER</t>
  </si>
  <si>
    <t>FRETAIL</t>
  </si>
  <si>
    <t>GULFOILLUB</t>
  </si>
  <si>
    <t>MONSANTO</t>
  </si>
  <si>
    <t>NAUKRI</t>
  </si>
  <si>
    <t>SFL</t>
  </si>
  <si>
    <t>TIINDIA</t>
  </si>
  <si>
    <t>HATSUN</t>
  </si>
  <si>
    <t>QUESS</t>
  </si>
  <si>
    <t>PVR</t>
  </si>
  <si>
    <t>AKZOINDIA</t>
  </si>
  <si>
    <t>CEATLTD</t>
  </si>
  <si>
    <t>ECLERX</t>
  </si>
  <si>
    <t>MAHLOG</t>
  </si>
  <si>
    <t>SYNGENE</t>
  </si>
  <si>
    <t>NIITTECH</t>
  </si>
  <si>
    <t>BASF</t>
  </si>
  <si>
    <t>GODREJPROP</t>
  </si>
  <si>
    <t>ALKEM</t>
  </si>
  <si>
    <t>SIS</t>
  </si>
  <si>
    <t>FLFL</t>
  </si>
  <si>
    <t>GLAXO</t>
  </si>
  <si>
    <t>GODFRYPHLP</t>
  </si>
  <si>
    <t>NAVINFLUOR</t>
  </si>
  <si>
    <t>REPCOHOME</t>
  </si>
  <si>
    <t>JKCEMENT</t>
  </si>
  <si>
    <t>TATAELXSI</t>
  </si>
  <si>
    <t>BEML</t>
  </si>
  <si>
    <t>PERSISTENT</t>
  </si>
  <si>
    <t>TATAINVEST</t>
  </si>
  <si>
    <t>LALPATHLAB</t>
  </si>
  <si>
    <t>GEPIL</t>
  </si>
  <si>
    <t>CROMPTON</t>
  </si>
  <si>
    <t>RAYMOND</t>
  </si>
  <si>
    <t>BAJAJELEC</t>
  </si>
  <si>
    <t>ESCORTS</t>
  </si>
  <si>
    <t>KPRMILL</t>
  </si>
  <si>
    <t>GRINDWELL</t>
  </si>
  <si>
    <t>COROMANDEL</t>
  </si>
  <si>
    <t>UJJIVAN</t>
  </si>
  <si>
    <t>KSCL</t>
  </si>
  <si>
    <t>MOTILALOFS</t>
  </si>
  <si>
    <t>NESCO</t>
  </si>
  <si>
    <t>HDFCLIFE</t>
  </si>
  <si>
    <t>INTELLECT</t>
  </si>
  <si>
    <t>ITDC</t>
  </si>
  <si>
    <t>RKFORGE</t>
  </si>
  <si>
    <t>ERIS</t>
  </si>
  <si>
    <t>JSLHISAR</t>
  </si>
  <si>
    <t>OBEROIRLTY</t>
  </si>
  <si>
    <t>PHOENIXLTD</t>
  </si>
  <si>
    <t>SHILPAMED</t>
  </si>
  <si>
    <t>RUPA</t>
  </si>
  <si>
    <t>FINPIPE</t>
  </si>
  <si>
    <t>GUJALKALI</t>
  </si>
  <si>
    <t>LINDEINDIA</t>
  </si>
  <si>
    <t>TIMKEN</t>
  </si>
  <si>
    <t>FINCABLES</t>
  </si>
  <si>
    <t>IBVENTURES</t>
  </si>
  <si>
    <t>JKLAKSHMI</t>
  </si>
  <si>
    <t>PNCINFRA</t>
  </si>
  <si>
    <t>STAR</t>
  </si>
  <si>
    <t>SUNTECK</t>
  </si>
  <si>
    <t>KNRCON</t>
  </si>
  <si>
    <t>MFSL</t>
  </si>
  <si>
    <t>SHOPERSTOP</t>
  </si>
  <si>
    <t>BAJAJCON</t>
  </si>
  <si>
    <t>DELTACORP</t>
  </si>
  <si>
    <t>GAYAPROJ</t>
  </si>
  <si>
    <t>JBCHEPHARM</t>
  </si>
  <si>
    <t>KEC</t>
  </si>
  <si>
    <t>SADBHAV</t>
  </si>
  <si>
    <t>WOCKPHARMA</t>
  </si>
  <si>
    <t>BLISSGVS</t>
  </si>
  <si>
    <t>GNFC</t>
  </si>
  <si>
    <t>CENTURYPLY</t>
  </si>
  <si>
    <t>SUVEN</t>
  </si>
  <si>
    <t>8KMILES</t>
  </si>
  <si>
    <t>GESHIP</t>
  </si>
  <si>
    <t>CHENNPETRO</t>
  </si>
  <si>
    <t>GHCL</t>
  </si>
  <si>
    <t>TORNTPOWER</t>
  </si>
  <si>
    <t>DCBBANK</t>
  </si>
  <si>
    <t>JYOTHYLAB</t>
  </si>
  <si>
    <t>ABFRL</t>
  </si>
  <si>
    <t>HIMATSEIDE</t>
  </si>
  <si>
    <t>STRTECH</t>
  </si>
  <si>
    <t>UFLEX</t>
  </si>
  <si>
    <t>EIHOTEL</t>
  </si>
  <si>
    <t>GSPL</t>
  </si>
  <si>
    <t>GUJGASLTD</t>
  </si>
  <si>
    <t>INDOCO</t>
  </si>
  <si>
    <t>INOXLEISUR</t>
  </si>
  <si>
    <t>THOMASCOOK</t>
  </si>
  <si>
    <t>BALMLAWRIE</t>
  </si>
  <si>
    <t>CARERATING</t>
  </si>
  <si>
    <t>EVEREADY</t>
  </si>
  <si>
    <t>HEIDELBERG</t>
  </si>
  <si>
    <t>JKIL</t>
  </si>
  <si>
    <t>MANAPPURAM</t>
  </si>
  <si>
    <t>TNPL</t>
  </si>
  <si>
    <t>UNICHEMLAB</t>
  </si>
  <si>
    <t>CHAMBLFERT</t>
  </si>
  <si>
    <t>GREAVESCOT</t>
  </si>
  <si>
    <t>RELCAPITAL</t>
  </si>
  <si>
    <t>TVTODAY</t>
  </si>
  <si>
    <t>ZENSARTECH</t>
  </si>
  <si>
    <t>FDC</t>
  </si>
  <si>
    <t>HSCL</t>
  </si>
  <si>
    <t>INDHOTEL</t>
  </si>
  <si>
    <t>BALRAMCHIN</t>
  </si>
  <si>
    <t>BOMDYEING</t>
  </si>
  <si>
    <t>GRANULES</t>
  </si>
  <si>
    <t>KTKBANK</t>
  </si>
  <si>
    <t>PRESTIGE</t>
  </si>
  <si>
    <t>SPARC</t>
  </si>
  <si>
    <t>SWANENERGY</t>
  </si>
  <si>
    <t>DEEPAKFERT</t>
  </si>
  <si>
    <t>GSFC</t>
  </si>
  <si>
    <t>ITDCEM</t>
  </si>
  <si>
    <t>JAGRAN</t>
  </si>
  <si>
    <t>JKTYRE</t>
  </si>
  <si>
    <t>RAIN</t>
  </si>
  <si>
    <t>REDINGTON</t>
  </si>
  <si>
    <t>WELCORP</t>
  </si>
  <si>
    <t>ASHOKA</t>
  </si>
  <si>
    <t>GPPL</t>
  </si>
  <si>
    <t>IEX</t>
  </si>
  <si>
    <t>JMFINANCIL</t>
  </si>
  <si>
    <t>ORIENTCEM</t>
  </si>
  <si>
    <t>PRSMJOHNSN</t>
  </si>
  <si>
    <t>TAKE</t>
  </si>
  <si>
    <t>TATACOFFEE</t>
  </si>
  <si>
    <t>TATAMTRDVR</t>
  </si>
  <si>
    <t>ALLCARGO</t>
  </si>
  <si>
    <t>EDELWEISS</t>
  </si>
  <si>
    <t>FORTIS</t>
  </si>
  <si>
    <t>GMDCLTD</t>
  </si>
  <si>
    <t>INDIACEM</t>
  </si>
  <si>
    <t>ITI</t>
  </si>
  <si>
    <t>JINDALSAW</t>
  </si>
  <si>
    <t>LAKSHVILAS</t>
  </si>
  <si>
    <t>ORIENTBANK</t>
  </si>
  <si>
    <t>PARAGMILK</t>
  </si>
  <si>
    <t>TIMETECHNO</t>
  </si>
  <si>
    <t>ICIL</t>
  </si>
  <si>
    <t>J&amp;KBANK</t>
  </si>
  <si>
    <t>JISLJALEQS</t>
  </si>
  <si>
    <t>KOLTEPATIL</t>
  </si>
  <si>
    <t>TRIDENT</t>
  </si>
  <si>
    <t>WABAG</t>
  </si>
  <si>
    <t>WELSPUNIND</t>
  </si>
  <si>
    <t>ALBK</t>
  </si>
  <si>
    <t>COFFEEDAY</t>
  </si>
  <si>
    <t>HFCL</t>
  </si>
  <si>
    <t>MCLEODRUSS</t>
  </si>
  <si>
    <t>NLCINDIA</t>
  </si>
  <si>
    <t>PTC</t>
  </si>
  <si>
    <t>ANDHRABANK</t>
  </si>
  <si>
    <t>CGPOWER</t>
  </si>
  <si>
    <t>GDL</t>
  </si>
  <si>
    <t>MHRIL</t>
  </si>
  <si>
    <t>RCF</t>
  </si>
  <si>
    <t>SREINFRA</t>
  </si>
  <si>
    <t>SYNDIBANK</t>
  </si>
  <si>
    <t>CORPBANK</t>
  </si>
  <si>
    <t>EQUITAS</t>
  </si>
  <si>
    <t>HCC</t>
  </si>
  <si>
    <t>IFCI</t>
  </si>
  <si>
    <t>IOB</t>
  </si>
  <si>
    <t>MAHINDCIE</t>
  </si>
  <si>
    <t>NFL</t>
  </si>
  <si>
    <t>SJVN</t>
  </si>
  <si>
    <t>SOUTHBANK</t>
  </si>
  <si>
    <t>TEXRAIL</t>
  </si>
  <si>
    <t>UCOBANK</t>
  </si>
  <si>
    <t>GET&amp;D</t>
  </si>
  <si>
    <t>HCL-INSYS</t>
  </si>
  <si>
    <t>JPASSOCIAT</t>
  </si>
  <si>
    <t>RENUKA</t>
  </si>
  <si>
    <t>GVKPIL</t>
  </si>
  <si>
    <t>HATHWAY</t>
  </si>
  <si>
    <t>INFIBEAM</t>
  </si>
  <si>
    <t>JPPOWER</t>
  </si>
  <si>
    <t>JSL</t>
  </si>
  <si>
    <t>PFS</t>
  </si>
  <si>
    <t>SCI</t>
  </si>
  <si>
    <t>FSL</t>
  </si>
  <si>
    <t>IRB</t>
  </si>
  <si>
    <t>IDFCFIRSTB</t>
  </si>
  <si>
    <t>JSWENERGY</t>
  </si>
  <si>
    <t>VRLLOG</t>
  </si>
  <si>
    <t>CENTRALBK</t>
  </si>
  <si>
    <t>OMAXE</t>
  </si>
  <si>
    <t>RNAVAL</t>
  </si>
  <si>
    <t>SADBHIN</t>
  </si>
  <si>
    <t>TV18BRDCST</t>
  </si>
  <si>
    <t>PNBHOUSING</t>
  </si>
  <si>
    <t>DREDGECORP</t>
  </si>
  <si>
    <t>DBCORP</t>
  </si>
  <si>
    <t>MOIL</t>
  </si>
  <si>
    <t>DEN</t>
  </si>
  <si>
    <t>SUZLON</t>
  </si>
  <si>
    <t>JUSTDIAL</t>
  </si>
  <si>
    <t>BRIGADE</t>
  </si>
  <si>
    <t>EROSMEDIA</t>
  </si>
  <si>
    <t>MANPASAND</t>
  </si>
  <si>
    <t>SHK</t>
  </si>
  <si>
    <t>IBREALEST</t>
  </si>
  <si>
    <t>CDSL</t>
  </si>
  <si>
    <t>RCOM</t>
  </si>
  <si>
    <t>NETWORK18</t>
  </si>
  <si>
    <t>HUDCO</t>
  </si>
  <si>
    <t>STARCEMENT</t>
  </si>
  <si>
    <t>IL&amp;FSTRANS</t>
  </si>
  <si>
    <t>HINDCOPPER</t>
  </si>
  <si>
    <t>LAURUSLABS</t>
  </si>
  <si>
    <t>NAVKARCORP</t>
  </si>
  <si>
    <t>AUBANK</t>
  </si>
  <si>
    <t>SOBHA</t>
  </si>
  <si>
    <t>MAXINDIA</t>
  </si>
  <si>
    <t>THYROCARE</t>
  </si>
  <si>
    <t>NH</t>
  </si>
  <si>
    <t>ADVENZYMES</t>
  </si>
  <si>
    <t>GODREJAGRO</t>
  </si>
  <si>
    <t>MASFIN</t>
  </si>
  <si>
    <t>TIFIN</t>
  </si>
  <si>
    <t>JETAIRWAYS</t>
  </si>
  <si>
    <t>RHFL</t>
  </si>
  <si>
    <t>SPTL</t>
  </si>
  <si>
    <t>RNAM</t>
  </si>
  <si>
    <t>DCAL</t>
  </si>
  <si>
    <t>INOXWIND</t>
  </si>
  <si>
    <t>COCHINSHIP</t>
  </si>
  <si>
    <t>MMTC</t>
  </si>
  <si>
    <t>SHANKARA</t>
  </si>
  <si>
    <t>DIXON</t>
  </si>
  <si>
    <t>BSE</t>
  </si>
  <si>
    <t>NIACL</t>
  </si>
  <si>
    <t>Total Price Gain</t>
  </si>
  <si>
    <t>Total Year on NSE</t>
  </si>
  <si>
    <t>Total Price Gain Percent</t>
  </si>
  <si>
    <t>Average Total percent gain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</si>
</sst>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theme="1" tint="4.9989318521683403E-2"/>
      <name val="Book Antiqua"/>
      <family val="1"/>
    </font>
    <font>
      <sz val="11"/>
      <color theme="1" tint="4.9989318521683403E-2"/>
      <name val="Book Antiqua"/>
      <family val="1"/>
    </font>
    <font>
      <sz val="11"/>
      <color rgb="FF000000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/>
  </cellXfs>
  <cellStyles count="1">
    <cellStyle name="Normal" xfId="0" builtinId="0"/>
  </cellStyles>
  <dxfs count="6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91"/>
  <sheetViews>
    <sheetView tabSelected="1" workbookViewId="0">
      <selection activeCell="E9" sqref="E9"/>
    </sheetView>
  </sheetViews>
  <sheetFormatPr defaultColWidth="14.453125" defaultRowHeight="15" customHeight="1" x14ac:dyDescent="0.35"/>
  <cols>
    <col min="1" max="1" width="16.54296875" bestFit="1" customWidth="1"/>
    <col min="2" max="2" width="15" customWidth="1"/>
    <col min="3" max="3" width="13.453125" customWidth="1"/>
    <col min="4" max="4" width="17.81640625" bestFit="1" customWidth="1"/>
    <col min="5" max="5" width="14.08984375" customWidth="1"/>
    <col min="6" max="6" width="13.90625" customWidth="1"/>
    <col min="7" max="7" width="16" customWidth="1"/>
    <col min="8" max="8" width="23.1796875" bestFit="1" customWidth="1"/>
    <col min="9" max="9" width="25.7265625" bestFit="1" customWidth="1"/>
  </cols>
  <sheetData>
    <row r="1" spans="1:9" ht="14.25" customHeight="1" x14ac:dyDescent="0.35">
      <c r="A1" s="1" t="s">
        <v>152</v>
      </c>
      <c r="B1" s="1" t="s">
        <v>0</v>
      </c>
      <c r="C1" s="1" t="s">
        <v>1</v>
      </c>
      <c r="D1" s="1" t="s">
        <v>496</v>
      </c>
      <c r="E1" s="1" t="s">
        <v>2</v>
      </c>
      <c r="F1" s="1" t="s">
        <v>3</v>
      </c>
      <c r="G1" s="1" t="s">
        <v>495</v>
      </c>
      <c r="H1" s="1" t="s">
        <v>497</v>
      </c>
      <c r="I1" s="1" t="s">
        <v>498</v>
      </c>
    </row>
    <row r="2" spans="1:9" ht="14.25" customHeight="1" x14ac:dyDescent="0.35">
      <c r="A2" s="2" t="s">
        <v>180</v>
      </c>
      <c r="B2" s="3">
        <v>2002</v>
      </c>
      <c r="C2" s="3">
        <v>2018</v>
      </c>
      <c r="D2" s="3">
        <f>(C2-B2)</f>
        <v>16</v>
      </c>
      <c r="E2" s="4">
        <v>317</v>
      </c>
      <c r="F2" s="4">
        <v>23400</v>
      </c>
      <c r="G2" s="5">
        <f>INT((F2-E2))</f>
        <v>23083</v>
      </c>
      <c r="H2" s="6">
        <f>INT(G2*100/E2)</f>
        <v>7281</v>
      </c>
      <c r="I2" s="6">
        <f>INT(H2/D2)</f>
        <v>455</v>
      </c>
    </row>
    <row r="3" spans="1:9" ht="14.25" customHeight="1" x14ac:dyDescent="0.35">
      <c r="A3" s="2" t="s">
        <v>333</v>
      </c>
      <c r="B3" s="3">
        <v>2014</v>
      </c>
      <c r="C3" s="3">
        <v>2018</v>
      </c>
      <c r="D3" s="3">
        <f>(C3-B3)</f>
        <v>4</v>
      </c>
      <c r="E3" s="4">
        <v>38</v>
      </c>
      <c r="F3" s="4">
        <v>99</v>
      </c>
      <c r="G3" s="5">
        <f t="shared" ref="G3:G66" si="0">INT((F3-E3))</f>
        <v>61</v>
      </c>
      <c r="H3" s="6">
        <f t="shared" ref="H3:H66" si="1">INT(G3*100/E3)</f>
        <v>160</v>
      </c>
      <c r="I3" s="6">
        <f t="shared" ref="I3:I66" si="2">INT(H3/D3)</f>
        <v>40</v>
      </c>
    </row>
    <row r="4" spans="1:9" ht="14.25" customHeight="1" x14ac:dyDescent="0.35">
      <c r="A4" s="2" t="s">
        <v>163</v>
      </c>
      <c r="B4" s="3">
        <v>2002</v>
      </c>
      <c r="C4" s="3">
        <v>2018</v>
      </c>
      <c r="D4" s="3">
        <f>(C4-B4)</f>
        <v>16</v>
      </c>
      <c r="E4" s="4">
        <v>11</v>
      </c>
      <c r="F4" s="4">
        <v>1441</v>
      </c>
      <c r="G4" s="5">
        <f t="shared" si="0"/>
        <v>1430</v>
      </c>
      <c r="H4" s="6">
        <f t="shared" si="1"/>
        <v>13000</v>
      </c>
      <c r="I4" s="6">
        <f t="shared" si="2"/>
        <v>812</v>
      </c>
    </row>
    <row r="5" spans="1:9" ht="14.25" customHeight="1" x14ac:dyDescent="0.35">
      <c r="A5" s="2" t="s">
        <v>11</v>
      </c>
      <c r="B5" s="3">
        <v>2002</v>
      </c>
      <c r="C5" s="3">
        <v>2018</v>
      </c>
      <c r="D5" s="3">
        <f>(C5-B5)</f>
        <v>16</v>
      </c>
      <c r="E5" s="4">
        <v>56</v>
      </c>
      <c r="F5" s="4">
        <v>1328</v>
      </c>
      <c r="G5" s="5">
        <f t="shared" si="0"/>
        <v>1272</v>
      </c>
      <c r="H5" s="6">
        <f t="shared" si="1"/>
        <v>2271</v>
      </c>
      <c r="I5" s="6">
        <f t="shared" si="2"/>
        <v>141</v>
      </c>
    </row>
    <row r="6" spans="1:9" ht="14.25" customHeight="1" x14ac:dyDescent="0.35">
      <c r="A6" s="2" t="s">
        <v>136</v>
      </c>
      <c r="B6" s="3">
        <v>2017</v>
      </c>
      <c r="C6" s="3">
        <v>2018</v>
      </c>
      <c r="D6" s="3">
        <f>(C6-B6)</f>
        <v>1</v>
      </c>
      <c r="E6" s="4">
        <v>237</v>
      </c>
      <c r="F6" s="4">
        <v>99</v>
      </c>
      <c r="G6" s="5">
        <f t="shared" si="0"/>
        <v>-138</v>
      </c>
      <c r="H6" s="6">
        <f t="shared" si="1"/>
        <v>-59</v>
      </c>
      <c r="I6" s="6">
        <f t="shared" si="2"/>
        <v>-59</v>
      </c>
    </row>
    <row r="7" spans="1:9" ht="14.25" customHeight="1" x14ac:dyDescent="0.35">
      <c r="A7" s="2" t="s">
        <v>340</v>
      </c>
      <c r="B7" s="3">
        <v>2013</v>
      </c>
      <c r="C7" s="3">
        <v>2018</v>
      </c>
      <c r="D7" s="3">
        <f>(C7-B7)</f>
        <v>5</v>
      </c>
      <c r="E7" s="4">
        <v>156</v>
      </c>
      <c r="F7" s="4">
        <v>219</v>
      </c>
      <c r="G7" s="5">
        <f t="shared" si="0"/>
        <v>63</v>
      </c>
      <c r="H7" s="6">
        <f t="shared" si="1"/>
        <v>40</v>
      </c>
      <c r="I7" s="6">
        <f t="shared" si="2"/>
        <v>8</v>
      </c>
    </row>
    <row r="8" spans="1:9" ht="14.25" customHeight="1" x14ac:dyDescent="0.35">
      <c r="A8" s="2" t="s">
        <v>17</v>
      </c>
      <c r="B8" s="3">
        <v>2002</v>
      </c>
      <c r="C8" s="3">
        <v>2018</v>
      </c>
      <c r="D8" s="3">
        <f>(C8-B8)</f>
        <v>16</v>
      </c>
      <c r="E8" s="4">
        <v>157</v>
      </c>
      <c r="F8" s="4">
        <v>1565</v>
      </c>
      <c r="G8" s="5">
        <f t="shared" si="0"/>
        <v>1408</v>
      </c>
      <c r="H8" s="6">
        <f t="shared" si="1"/>
        <v>896</v>
      </c>
      <c r="I8" s="6">
        <f t="shared" si="2"/>
        <v>56</v>
      </c>
    </row>
    <row r="9" spans="1:9" ht="14.25" customHeight="1" x14ac:dyDescent="0.35">
      <c r="A9" s="2" t="s">
        <v>4</v>
      </c>
      <c r="B9" s="3">
        <v>2007</v>
      </c>
      <c r="C9" s="3">
        <v>2018</v>
      </c>
      <c r="D9" s="3">
        <f>(C9-B9)</f>
        <v>11</v>
      </c>
      <c r="E9" s="4">
        <v>185</v>
      </c>
      <c r="F9" s="4">
        <v>358</v>
      </c>
      <c r="G9" s="5">
        <f t="shared" si="0"/>
        <v>173</v>
      </c>
      <c r="H9" s="6">
        <f t="shared" si="1"/>
        <v>93</v>
      </c>
      <c r="I9" s="6">
        <f t="shared" si="2"/>
        <v>8</v>
      </c>
    </row>
    <row r="10" spans="1:9" ht="14.25" customHeight="1" x14ac:dyDescent="0.35">
      <c r="A10" s="2" t="s">
        <v>9</v>
      </c>
      <c r="B10" s="3">
        <v>2009</v>
      </c>
      <c r="C10" s="3">
        <v>2018</v>
      </c>
      <c r="D10" s="3">
        <f>(C10-B10)</f>
        <v>9</v>
      </c>
      <c r="E10" s="4">
        <v>103</v>
      </c>
      <c r="F10" s="4">
        <v>48</v>
      </c>
      <c r="G10" s="5">
        <f t="shared" si="0"/>
        <v>-55</v>
      </c>
      <c r="H10" s="6">
        <f t="shared" si="1"/>
        <v>-54</v>
      </c>
      <c r="I10" s="6">
        <f t="shared" si="2"/>
        <v>-6</v>
      </c>
    </row>
    <row r="11" spans="1:9" ht="14.25" customHeight="1" x14ac:dyDescent="0.35">
      <c r="A11" s="2" t="s">
        <v>210</v>
      </c>
      <c r="B11" s="3">
        <v>2015</v>
      </c>
      <c r="C11" s="3">
        <v>2018</v>
      </c>
      <c r="D11" s="3">
        <f>(C11-B11)</f>
        <v>3</v>
      </c>
      <c r="E11" s="4">
        <v>27</v>
      </c>
      <c r="F11" s="4">
        <v>219</v>
      </c>
      <c r="G11" s="5">
        <f t="shared" si="0"/>
        <v>192</v>
      </c>
      <c r="H11" s="6">
        <f t="shared" si="1"/>
        <v>711</v>
      </c>
      <c r="I11" s="6">
        <f t="shared" si="2"/>
        <v>237</v>
      </c>
    </row>
    <row r="12" spans="1:9" ht="14.25" customHeight="1" x14ac:dyDescent="0.35">
      <c r="A12" s="2" t="s">
        <v>479</v>
      </c>
      <c r="B12" s="3">
        <v>2016</v>
      </c>
      <c r="C12" s="3">
        <v>2018</v>
      </c>
      <c r="D12" s="3">
        <f>(C12-B12)</f>
        <v>2</v>
      </c>
      <c r="E12" s="4">
        <v>284</v>
      </c>
      <c r="F12" s="4">
        <v>171</v>
      </c>
      <c r="G12" s="5">
        <f t="shared" si="0"/>
        <v>-113</v>
      </c>
      <c r="H12" s="6">
        <f t="shared" si="1"/>
        <v>-40</v>
      </c>
      <c r="I12" s="6">
        <f t="shared" si="2"/>
        <v>-20</v>
      </c>
    </row>
    <row r="13" spans="1:9" ht="14.25" customHeight="1" x14ac:dyDescent="0.35">
      <c r="A13" s="2" t="s">
        <v>158</v>
      </c>
      <c r="B13" s="3">
        <v>2002</v>
      </c>
      <c r="C13" s="3">
        <v>2018</v>
      </c>
      <c r="D13" s="3">
        <f>(C13-B13)</f>
        <v>16</v>
      </c>
      <c r="E13" s="4">
        <v>1</v>
      </c>
      <c r="F13" s="4">
        <v>202</v>
      </c>
      <c r="G13" s="5">
        <f t="shared" si="0"/>
        <v>201</v>
      </c>
      <c r="H13" s="6">
        <f t="shared" si="1"/>
        <v>20100</v>
      </c>
      <c r="I13" s="6">
        <f t="shared" si="2"/>
        <v>1256</v>
      </c>
    </row>
    <row r="14" spans="1:9" ht="14.25" customHeight="1" x14ac:dyDescent="0.35">
      <c r="A14" s="2" t="s">
        <v>227</v>
      </c>
      <c r="B14" s="3">
        <v>2005</v>
      </c>
      <c r="C14" s="3">
        <v>2018</v>
      </c>
      <c r="D14" s="3">
        <f>(C14-B14)</f>
        <v>13</v>
      </c>
      <c r="E14" s="4">
        <v>113</v>
      </c>
      <c r="F14" s="4">
        <v>1714</v>
      </c>
      <c r="G14" s="5">
        <f t="shared" si="0"/>
        <v>1601</v>
      </c>
      <c r="H14" s="6">
        <f t="shared" si="1"/>
        <v>1416</v>
      </c>
      <c r="I14" s="6">
        <f t="shared" si="2"/>
        <v>108</v>
      </c>
    </row>
    <row r="15" spans="1:9" ht="14.25" customHeight="1" x14ac:dyDescent="0.35">
      <c r="A15" s="2" t="s">
        <v>18</v>
      </c>
      <c r="B15" s="3">
        <v>2002</v>
      </c>
      <c r="C15" s="3">
        <v>2018</v>
      </c>
      <c r="D15" s="3">
        <f>(C15-B15)</f>
        <v>16</v>
      </c>
      <c r="E15" s="4">
        <v>6</v>
      </c>
      <c r="F15" s="4">
        <v>1000</v>
      </c>
      <c r="G15" s="5">
        <f t="shared" si="0"/>
        <v>994</v>
      </c>
      <c r="H15" s="6">
        <f t="shared" si="1"/>
        <v>16566</v>
      </c>
      <c r="I15" s="6">
        <f t="shared" si="2"/>
        <v>1035</v>
      </c>
    </row>
    <row r="16" spans="1:9" ht="14.25" customHeight="1" x14ac:dyDescent="0.35">
      <c r="A16" s="2" t="s">
        <v>266</v>
      </c>
      <c r="B16" s="3">
        <v>2002</v>
      </c>
      <c r="C16" s="3">
        <v>2018</v>
      </c>
      <c r="D16" s="3">
        <f>(C16-B16)</f>
        <v>16</v>
      </c>
      <c r="E16" s="4">
        <v>105</v>
      </c>
      <c r="F16" s="4">
        <v>1736</v>
      </c>
      <c r="G16" s="5">
        <f t="shared" si="0"/>
        <v>1631</v>
      </c>
      <c r="H16" s="6">
        <f t="shared" si="1"/>
        <v>1553</v>
      </c>
      <c r="I16" s="6">
        <f t="shared" si="2"/>
        <v>97</v>
      </c>
    </row>
    <row r="17" spans="1:9" ht="14.25" customHeight="1" x14ac:dyDescent="0.35">
      <c r="A17" s="2" t="s">
        <v>408</v>
      </c>
      <c r="B17" s="3">
        <v>2002</v>
      </c>
      <c r="C17" s="3">
        <v>2018</v>
      </c>
      <c r="D17" s="3">
        <f>(C17-B17)</f>
        <v>16</v>
      </c>
      <c r="E17" s="4">
        <v>10</v>
      </c>
      <c r="F17" s="4">
        <v>54</v>
      </c>
      <c r="G17" s="5">
        <f t="shared" si="0"/>
        <v>44</v>
      </c>
      <c r="H17" s="6">
        <f t="shared" si="1"/>
        <v>440</v>
      </c>
      <c r="I17" s="6">
        <f t="shared" si="2"/>
        <v>27</v>
      </c>
    </row>
    <row r="18" spans="1:9" ht="14.25" customHeight="1" x14ac:dyDescent="0.35">
      <c r="A18" s="2" t="s">
        <v>274</v>
      </c>
      <c r="B18" s="3">
        <v>2015</v>
      </c>
      <c r="C18" s="3">
        <v>2018</v>
      </c>
      <c r="D18" s="3">
        <f>(C18-B18)</f>
        <v>3</v>
      </c>
      <c r="E18" s="4">
        <v>1521</v>
      </c>
      <c r="F18" s="4">
        <v>1750</v>
      </c>
      <c r="G18" s="5">
        <f t="shared" si="0"/>
        <v>229</v>
      </c>
      <c r="H18" s="6">
        <f t="shared" si="1"/>
        <v>15</v>
      </c>
      <c r="I18" s="6">
        <f t="shared" si="2"/>
        <v>5</v>
      </c>
    </row>
    <row r="19" spans="1:9" ht="14.25" customHeight="1" x14ac:dyDescent="0.35">
      <c r="A19" s="2" t="s">
        <v>390</v>
      </c>
      <c r="B19" s="3">
        <v>2006</v>
      </c>
      <c r="C19" s="3">
        <v>2018</v>
      </c>
      <c r="D19" s="3">
        <f>(C19-B19)</f>
        <v>12</v>
      </c>
      <c r="E19" s="4">
        <v>67</v>
      </c>
      <c r="F19" s="4">
        <v>115</v>
      </c>
      <c r="G19" s="5">
        <f t="shared" si="0"/>
        <v>48</v>
      </c>
      <c r="H19" s="6">
        <f t="shared" si="1"/>
        <v>71</v>
      </c>
      <c r="I19" s="6">
        <f t="shared" si="2"/>
        <v>5</v>
      </c>
    </row>
    <row r="20" spans="1:9" ht="14.25" customHeight="1" x14ac:dyDescent="0.35">
      <c r="A20" s="2" t="s">
        <v>151</v>
      </c>
      <c r="B20" s="3">
        <v>2002</v>
      </c>
      <c r="C20" s="3">
        <v>2018</v>
      </c>
      <c r="D20" s="3">
        <f>(C20-B20)</f>
        <v>16</v>
      </c>
      <c r="E20" s="4">
        <v>3</v>
      </c>
      <c r="F20" s="4">
        <v>723</v>
      </c>
      <c r="G20" s="5">
        <f t="shared" si="0"/>
        <v>720</v>
      </c>
      <c r="H20" s="6">
        <f t="shared" si="1"/>
        <v>24000</v>
      </c>
      <c r="I20" s="6">
        <f t="shared" si="2"/>
        <v>1500</v>
      </c>
    </row>
    <row r="21" spans="1:9" ht="14.25" customHeight="1" x14ac:dyDescent="0.35">
      <c r="A21" s="2" t="s">
        <v>8</v>
      </c>
      <c r="B21" s="3">
        <v>2000</v>
      </c>
      <c r="C21" s="3">
        <v>2018</v>
      </c>
      <c r="D21" s="3">
        <f>(C21-B21)</f>
        <v>18</v>
      </c>
      <c r="E21" s="4">
        <v>40</v>
      </c>
      <c r="F21" s="4">
        <v>234</v>
      </c>
      <c r="G21" s="5">
        <f t="shared" si="0"/>
        <v>194</v>
      </c>
      <c r="H21" s="6">
        <f t="shared" si="1"/>
        <v>485</v>
      </c>
      <c r="I21" s="6">
        <f t="shared" si="2"/>
        <v>26</v>
      </c>
    </row>
    <row r="22" spans="1:9" ht="14.25" customHeight="1" x14ac:dyDescent="0.35">
      <c r="A22" s="2" t="s">
        <v>414</v>
      </c>
      <c r="B22" s="3">
        <v>2001</v>
      </c>
      <c r="C22" s="3">
        <v>2018</v>
      </c>
      <c r="D22" s="3">
        <f>(C22-B22)</f>
        <v>17</v>
      </c>
      <c r="E22" s="4">
        <v>9</v>
      </c>
      <c r="F22" s="4">
        <v>32</v>
      </c>
      <c r="G22" s="5">
        <f t="shared" si="0"/>
        <v>23</v>
      </c>
      <c r="H22" s="6">
        <f t="shared" si="1"/>
        <v>255</v>
      </c>
      <c r="I22" s="6">
        <f t="shared" si="2"/>
        <v>15</v>
      </c>
    </row>
    <row r="23" spans="1:9" ht="14.25" customHeight="1" x14ac:dyDescent="0.35">
      <c r="A23" s="2" t="s">
        <v>222</v>
      </c>
      <c r="B23" s="3">
        <v>2011</v>
      </c>
      <c r="C23" s="3">
        <v>2018</v>
      </c>
      <c r="D23" s="3">
        <f>(C23-B23)</f>
        <v>7</v>
      </c>
      <c r="E23" s="4">
        <v>140</v>
      </c>
      <c r="F23" s="4">
        <v>1435</v>
      </c>
      <c r="G23" s="5">
        <f t="shared" si="0"/>
        <v>1295</v>
      </c>
      <c r="H23" s="6">
        <f t="shared" si="1"/>
        <v>925</v>
      </c>
      <c r="I23" s="6">
        <f t="shared" si="2"/>
        <v>132</v>
      </c>
    </row>
    <row r="24" spans="1:9" ht="14.25" customHeight="1" x14ac:dyDescent="0.35">
      <c r="A24" s="2" t="s">
        <v>230</v>
      </c>
      <c r="B24" s="3">
        <v>2011</v>
      </c>
      <c r="C24" s="3">
        <v>2018</v>
      </c>
      <c r="D24" s="3">
        <f>(C24-B24)</f>
        <v>7</v>
      </c>
      <c r="E24" s="4">
        <v>46</v>
      </c>
      <c r="F24" s="4">
        <v>540</v>
      </c>
      <c r="G24" s="5">
        <f t="shared" si="0"/>
        <v>494</v>
      </c>
      <c r="H24" s="6">
        <f t="shared" si="1"/>
        <v>1073</v>
      </c>
      <c r="I24" s="6">
        <f t="shared" si="2"/>
        <v>153</v>
      </c>
    </row>
    <row r="25" spans="1:9" ht="14.25" customHeight="1" x14ac:dyDescent="0.35">
      <c r="A25" s="2" t="s">
        <v>125</v>
      </c>
      <c r="B25" s="3">
        <v>2000</v>
      </c>
      <c r="C25" s="3">
        <v>2018</v>
      </c>
      <c r="D25" s="3">
        <f>(C25-B25)</f>
        <v>18</v>
      </c>
      <c r="E25" s="4">
        <v>120</v>
      </c>
      <c r="F25" s="4">
        <v>1270</v>
      </c>
      <c r="G25" s="5">
        <f t="shared" si="0"/>
        <v>1150</v>
      </c>
      <c r="H25" s="6">
        <f t="shared" si="1"/>
        <v>958</v>
      </c>
      <c r="I25" s="6">
        <f t="shared" si="2"/>
        <v>53</v>
      </c>
    </row>
    <row r="26" spans="1:9" ht="14.25" customHeight="1" x14ac:dyDescent="0.35">
      <c r="A26" s="2" t="s">
        <v>71</v>
      </c>
      <c r="B26" s="3">
        <v>2002</v>
      </c>
      <c r="C26" s="3">
        <v>2018</v>
      </c>
      <c r="D26" s="3">
        <f>(C26-B26)</f>
        <v>16</v>
      </c>
      <c r="E26" s="4">
        <v>8</v>
      </c>
      <c r="F26" s="4">
        <v>225</v>
      </c>
      <c r="G26" s="5">
        <f t="shared" si="0"/>
        <v>217</v>
      </c>
      <c r="H26" s="6">
        <f t="shared" si="1"/>
        <v>2712</v>
      </c>
      <c r="I26" s="6">
        <f t="shared" si="2"/>
        <v>169</v>
      </c>
    </row>
    <row r="27" spans="1:9" ht="14.25" customHeight="1" x14ac:dyDescent="0.35">
      <c r="A27" s="2" t="s">
        <v>381</v>
      </c>
      <c r="B27" s="3">
        <v>2010</v>
      </c>
      <c r="C27" s="3">
        <v>2018</v>
      </c>
      <c r="D27" s="3">
        <f>(C27-B27)</f>
        <v>8</v>
      </c>
      <c r="E27" s="4">
        <v>70</v>
      </c>
      <c r="F27" s="4">
        <v>110</v>
      </c>
      <c r="G27" s="5">
        <f t="shared" si="0"/>
        <v>40</v>
      </c>
      <c r="H27" s="6">
        <f t="shared" si="1"/>
        <v>57</v>
      </c>
      <c r="I27" s="6">
        <f t="shared" si="2"/>
        <v>7</v>
      </c>
    </row>
    <row r="28" spans="1:9" ht="14.25" customHeight="1" x14ac:dyDescent="0.35">
      <c r="A28" s="2" t="s">
        <v>73</v>
      </c>
      <c r="B28" s="3">
        <v>2002</v>
      </c>
      <c r="C28" s="3">
        <v>2018</v>
      </c>
      <c r="D28" s="3">
        <f>(C28-B28)</f>
        <v>16</v>
      </c>
      <c r="E28" s="4">
        <v>6</v>
      </c>
      <c r="F28" s="4">
        <v>90</v>
      </c>
      <c r="G28" s="5">
        <f t="shared" si="0"/>
        <v>84</v>
      </c>
      <c r="H28" s="6">
        <f t="shared" si="1"/>
        <v>1400</v>
      </c>
      <c r="I28" s="6">
        <f t="shared" si="2"/>
        <v>87</v>
      </c>
    </row>
    <row r="29" spans="1:9" ht="14.25" customHeight="1" x14ac:dyDescent="0.35">
      <c r="A29" s="2" t="s">
        <v>7</v>
      </c>
      <c r="B29" s="3">
        <v>2002</v>
      </c>
      <c r="C29" s="3">
        <v>2018</v>
      </c>
      <c r="D29" s="3">
        <f>(C29-B29)</f>
        <v>16</v>
      </c>
      <c r="E29" s="4">
        <v>24</v>
      </c>
      <c r="F29" s="4">
        <v>1516</v>
      </c>
      <c r="G29" s="5">
        <f t="shared" si="0"/>
        <v>1492</v>
      </c>
      <c r="H29" s="6">
        <f t="shared" si="1"/>
        <v>6216</v>
      </c>
      <c r="I29" s="6">
        <f t="shared" si="2"/>
        <v>388</v>
      </c>
    </row>
    <row r="30" spans="1:9" ht="14.25" customHeight="1" x14ac:dyDescent="0.35">
      <c r="A30" s="2" t="s">
        <v>159</v>
      </c>
      <c r="B30" s="3">
        <v>2007</v>
      </c>
      <c r="C30" s="3">
        <v>2018</v>
      </c>
      <c r="D30" s="3">
        <f>(C30-B30)</f>
        <v>11</v>
      </c>
      <c r="E30" s="4">
        <v>9</v>
      </c>
      <c r="F30" s="4">
        <v>1190</v>
      </c>
      <c r="G30" s="5">
        <f t="shared" si="0"/>
        <v>1181</v>
      </c>
      <c r="H30" s="6">
        <f t="shared" si="1"/>
        <v>13122</v>
      </c>
      <c r="I30" s="6">
        <f t="shared" si="2"/>
        <v>1192</v>
      </c>
    </row>
    <row r="31" spans="1:9" ht="14.25" customHeight="1" x14ac:dyDescent="0.35">
      <c r="A31" s="2" t="s">
        <v>172</v>
      </c>
      <c r="B31" s="3">
        <v>2002</v>
      </c>
      <c r="C31" s="3">
        <v>2018</v>
      </c>
      <c r="D31" s="3">
        <f>(C31-B31)</f>
        <v>16</v>
      </c>
      <c r="E31" s="4">
        <v>34</v>
      </c>
      <c r="F31" s="4">
        <v>3575</v>
      </c>
      <c r="G31" s="5">
        <f t="shared" si="0"/>
        <v>3541</v>
      </c>
      <c r="H31" s="6">
        <f t="shared" si="1"/>
        <v>10414</v>
      </c>
      <c r="I31" s="6">
        <f t="shared" si="2"/>
        <v>650</v>
      </c>
    </row>
    <row r="32" spans="1:9" ht="14.25" customHeight="1" x14ac:dyDescent="0.35">
      <c r="A32" s="2" t="s">
        <v>474</v>
      </c>
      <c r="B32" s="3">
        <v>2017</v>
      </c>
      <c r="C32" s="3">
        <v>2018</v>
      </c>
      <c r="D32" s="3">
        <f>(C32-B32)</f>
        <v>1</v>
      </c>
      <c r="E32" s="4">
        <v>597</v>
      </c>
      <c r="F32" s="4">
        <v>554</v>
      </c>
      <c r="G32" s="5">
        <f t="shared" si="0"/>
        <v>-43</v>
      </c>
      <c r="H32" s="6">
        <f t="shared" si="1"/>
        <v>-8</v>
      </c>
      <c r="I32" s="6">
        <f t="shared" si="2"/>
        <v>-8</v>
      </c>
    </row>
    <row r="33" spans="1:9" ht="14.25" customHeight="1" x14ac:dyDescent="0.35">
      <c r="A33" s="2" t="s">
        <v>58</v>
      </c>
      <c r="B33" s="3">
        <v>2002</v>
      </c>
      <c r="C33" s="3">
        <v>2018</v>
      </c>
      <c r="D33" s="3">
        <f>(C33-B33)</f>
        <v>16</v>
      </c>
      <c r="E33" s="4">
        <v>11</v>
      </c>
      <c r="F33" s="4">
        <v>784</v>
      </c>
      <c r="G33" s="5">
        <f t="shared" si="0"/>
        <v>773</v>
      </c>
      <c r="H33" s="6">
        <f t="shared" si="1"/>
        <v>7027</v>
      </c>
      <c r="I33" s="6">
        <f t="shared" si="2"/>
        <v>439</v>
      </c>
    </row>
    <row r="34" spans="1:9" ht="14.25" customHeight="1" x14ac:dyDescent="0.35">
      <c r="A34" s="2" t="s">
        <v>154</v>
      </c>
      <c r="B34" s="3">
        <v>2010</v>
      </c>
      <c r="C34" s="3">
        <v>2018</v>
      </c>
      <c r="D34" s="3">
        <f>(C34-B34)</f>
        <v>8</v>
      </c>
      <c r="E34" s="4">
        <v>2</v>
      </c>
      <c r="F34" s="4">
        <v>416</v>
      </c>
      <c r="G34" s="5">
        <f t="shared" si="0"/>
        <v>414</v>
      </c>
      <c r="H34" s="6">
        <f t="shared" si="1"/>
        <v>20700</v>
      </c>
      <c r="I34" s="6">
        <f t="shared" si="2"/>
        <v>2587</v>
      </c>
    </row>
    <row r="35" spans="1:9" ht="14.25" customHeight="1" x14ac:dyDescent="0.35">
      <c r="A35" s="2" t="s">
        <v>10</v>
      </c>
      <c r="B35" s="3">
        <v>2002</v>
      </c>
      <c r="C35" s="3">
        <v>2018</v>
      </c>
      <c r="D35" s="3">
        <f>(C35-B35)</f>
        <v>16</v>
      </c>
      <c r="E35" s="4">
        <v>8</v>
      </c>
      <c r="F35" s="4">
        <v>765</v>
      </c>
      <c r="G35" s="5">
        <f t="shared" si="0"/>
        <v>757</v>
      </c>
      <c r="H35" s="6">
        <f t="shared" si="1"/>
        <v>9462</v>
      </c>
      <c r="I35" s="6">
        <f t="shared" si="2"/>
        <v>591</v>
      </c>
    </row>
    <row r="36" spans="1:9" ht="14.25" customHeight="1" x14ac:dyDescent="0.35">
      <c r="A36" s="2" t="s">
        <v>13</v>
      </c>
      <c r="B36" s="3">
        <v>2002</v>
      </c>
      <c r="C36" s="3">
        <v>2018</v>
      </c>
      <c r="D36" s="3">
        <f>(C36-B36)</f>
        <v>16</v>
      </c>
      <c r="E36" s="4">
        <v>268</v>
      </c>
      <c r="F36" s="4">
        <v>2867</v>
      </c>
      <c r="G36" s="5">
        <f t="shared" si="0"/>
        <v>2599</v>
      </c>
      <c r="H36" s="6">
        <f t="shared" si="1"/>
        <v>969</v>
      </c>
      <c r="I36" s="6">
        <f t="shared" si="2"/>
        <v>60</v>
      </c>
    </row>
    <row r="37" spans="1:9" ht="14.25" customHeight="1" x14ac:dyDescent="0.35">
      <c r="A37" s="2" t="s">
        <v>322</v>
      </c>
      <c r="B37" s="3">
        <v>2010</v>
      </c>
      <c r="C37" s="3">
        <v>2018</v>
      </c>
      <c r="D37" s="3">
        <f>(C37-B37)</f>
        <v>8</v>
      </c>
      <c r="E37" s="4">
        <v>145</v>
      </c>
      <c r="F37" s="4">
        <v>313</v>
      </c>
      <c r="G37" s="5">
        <f t="shared" si="0"/>
        <v>168</v>
      </c>
      <c r="H37" s="6">
        <f t="shared" si="1"/>
        <v>115</v>
      </c>
      <c r="I37" s="6">
        <f t="shared" si="2"/>
        <v>14</v>
      </c>
    </row>
    <row r="38" spans="1:9" ht="14.25" customHeight="1" x14ac:dyDescent="0.35">
      <c r="A38" s="2" t="s">
        <v>290</v>
      </c>
      <c r="B38" s="3">
        <v>2007</v>
      </c>
      <c r="C38" s="3">
        <v>2018</v>
      </c>
      <c r="D38" s="3">
        <f>(C38-B38)</f>
        <v>11</v>
      </c>
      <c r="E38" s="4">
        <v>70</v>
      </c>
      <c r="F38" s="4">
        <v>563</v>
      </c>
      <c r="G38" s="5">
        <f t="shared" si="0"/>
        <v>493</v>
      </c>
      <c r="H38" s="6">
        <f t="shared" si="1"/>
        <v>704</v>
      </c>
      <c r="I38" s="6">
        <f t="shared" si="2"/>
        <v>64</v>
      </c>
    </row>
    <row r="39" spans="1:9" ht="14.25" customHeight="1" x14ac:dyDescent="0.35">
      <c r="A39" s="2" t="s">
        <v>16</v>
      </c>
      <c r="B39" s="3">
        <v>2008</v>
      </c>
      <c r="C39" s="3">
        <v>2018</v>
      </c>
      <c r="D39" s="3">
        <f>(C39-B39)</f>
        <v>10</v>
      </c>
      <c r="E39" s="4">
        <v>632</v>
      </c>
      <c r="F39" s="4">
        <v>7231</v>
      </c>
      <c r="G39" s="5">
        <f t="shared" si="0"/>
        <v>6599</v>
      </c>
      <c r="H39" s="6">
        <f t="shared" si="1"/>
        <v>1044</v>
      </c>
      <c r="I39" s="6">
        <f t="shared" si="2"/>
        <v>104</v>
      </c>
    </row>
    <row r="40" spans="1:9" ht="14.25" customHeight="1" x14ac:dyDescent="0.35">
      <c r="A40" s="2" t="s">
        <v>250</v>
      </c>
      <c r="B40" s="3">
        <v>2008</v>
      </c>
      <c r="C40" s="3">
        <v>2018</v>
      </c>
      <c r="D40" s="3">
        <f>(C40-B40)</f>
        <v>10</v>
      </c>
      <c r="E40" s="4">
        <v>778</v>
      </c>
      <c r="F40" s="4">
        <v>3445</v>
      </c>
      <c r="G40" s="5">
        <f t="shared" si="0"/>
        <v>2667</v>
      </c>
      <c r="H40" s="6">
        <f t="shared" si="1"/>
        <v>342</v>
      </c>
      <c r="I40" s="6">
        <f t="shared" si="2"/>
        <v>34</v>
      </c>
    </row>
    <row r="41" spans="1:9" ht="14.25" customHeight="1" x14ac:dyDescent="0.35">
      <c r="A41" s="2" t="s">
        <v>19</v>
      </c>
      <c r="B41" s="3">
        <v>2002</v>
      </c>
      <c r="C41" s="3">
        <v>2018</v>
      </c>
      <c r="D41" s="3">
        <f>(C41-B41)</f>
        <v>16</v>
      </c>
      <c r="E41" s="4">
        <v>6</v>
      </c>
      <c r="F41" s="4">
        <v>3028</v>
      </c>
      <c r="G41" s="5">
        <f t="shared" si="0"/>
        <v>3022</v>
      </c>
      <c r="H41" s="6">
        <f t="shared" si="1"/>
        <v>50366</v>
      </c>
      <c r="I41" s="6">
        <f t="shared" si="2"/>
        <v>3147</v>
      </c>
    </row>
    <row r="42" spans="1:9" ht="14.25" customHeight="1" x14ac:dyDescent="0.35">
      <c r="A42" s="2" t="s">
        <v>119</v>
      </c>
      <c r="B42" s="3">
        <v>2006</v>
      </c>
      <c r="C42" s="3">
        <v>2018</v>
      </c>
      <c r="D42" s="3">
        <f>(C42-B42)</f>
        <v>12</v>
      </c>
      <c r="E42" s="4">
        <v>115</v>
      </c>
      <c r="F42" s="4">
        <v>1012</v>
      </c>
      <c r="G42" s="5">
        <f t="shared" si="0"/>
        <v>897</v>
      </c>
      <c r="H42" s="6">
        <f t="shared" si="1"/>
        <v>780</v>
      </c>
      <c r="I42" s="6">
        <f t="shared" si="2"/>
        <v>65</v>
      </c>
    </row>
    <row r="43" spans="1:9" ht="14.25" customHeight="1" x14ac:dyDescent="0.35">
      <c r="A43" s="2" t="s">
        <v>350</v>
      </c>
      <c r="B43" s="3">
        <v>2002</v>
      </c>
      <c r="C43" s="3">
        <v>2018</v>
      </c>
      <c r="D43" s="3">
        <f>(C43-B43)</f>
        <v>16</v>
      </c>
      <c r="E43" s="4">
        <v>14</v>
      </c>
      <c r="F43" s="4">
        <v>186</v>
      </c>
      <c r="G43" s="5">
        <f t="shared" si="0"/>
        <v>172</v>
      </c>
      <c r="H43" s="6">
        <f t="shared" si="1"/>
        <v>1228</v>
      </c>
      <c r="I43" s="6">
        <f t="shared" si="2"/>
        <v>76</v>
      </c>
    </row>
    <row r="44" spans="1:9" ht="14.25" customHeight="1" x14ac:dyDescent="0.35">
      <c r="A44" s="2" t="s">
        <v>366</v>
      </c>
      <c r="B44" s="3">
        <v>2002</v>
      </c>
      <c r="C44" s="3">
        <v>2018</v>
      </c>
      <c r="D44" s="3">
        <f>(C44-B44)</f>
        <v>16</v>
      </c>
      <c r="E44" s="4">
        <v>15</v>
      </c>
      <c r="F44" s="4">
        <v>138</v>
      </c>
      <c r="G44" s="5">
        <f t="shared" si="0"/>
        <v>123</v>
      </c>
      <c r="H44" s="6">
        <f t="shared" si="1"/>
        <v>820</v>
      </c>
      <c r="I44" s="6">
        <f t="shared" si="2"/>
        <v>51</v>
      </c>
    </row>
    <row r="45" spans="1:9" ht="14.25" customHeight="1" x14ac:dyDescent="0.35">
      <c r="A45" s="2" t="s">
        <v>79</v>
      </c>
      <c r="B45" s="3">
        <v>2002</v>
      </c>
      <c r="C45" s="3">
        <v>2018</v>
      </c>
      <c r="D45" s="3">
        <f>(C45-B45)</f>
        <v>16</v>
      </c>
      <c r="E45" s="4">
        <v>12</v>
      </c>
      <c r="F45" s="4">
        <v>133</v>
      </c>
      <c r="G45" s="5">
        <f t="shared" si="0"/>
        <v>121</v>
      </c>
      <c r="H45" s="6">
        <f t="shared" si="1"/>
        <v>1008</v>
      </c>
      <c r="I45" s="6">
        <f t="shared" si="2"/>
        <v>63</v>
      </c>
    </row>
    <row r="46" spans="1:9" ht="14.25" customHeight="1" x14ac:dyDescent="0.35">
      <c r="A46" s="2" t="s">
        <v>62</v>
      </c>
      <c r="B46" s="3">
        <v>2002</v>
      </c>
      <c r="C46" s="3">
        <v>2018</v>
      </c>
      <c r="D46" s="3">
        <f>(C46-B46)</f>
        <v>16</v>
      </c>
      <c r="E46" s="4">
        <v>32</v>
      </c>
      <c r="F46" s="4">
        <v>105</v>
      </c>
      <c r="G46" s="5">
        <f t="shared" si="0"/>
        <v>73</v>
      </c>
      <c r="H46" s="6">
        <f t="shared" si="1"/>
        <v>228</v>
      </c>
      <c r="I46" s="6">
        <f t="shared" si="2"/>
        <v>14</v>
      </c>
    </row>
    <row r="47" spans="1:9" ht="14.25" customHeight="1" x14ac:dyDescent="0.35">
      <c r="A47" s="2" t="s">
        <v>272</v>
      </c>
      <c r="B47" s="3">
        <v>2002</v>
      </c>
      <c r="C47" s="3">
        <v>2018</v>
      </c>
      <c r="D47" s="3">
        <f>(C47-B47)</f>
        <v>16</v>
      </c>
      <c r="E47" s="4">
        <v>120</v>
      </c>
      <c r="F47" s="4">
        <v>1440</v>
      </c>
      <c r="G47" s="5">
        <f t="shared" si="0"/>
        <v>1320</v>
      </c>
      <c r="H47" s="6">
        <f t="shared" si="1"/>
        <v>1100</v>
      </c>
      <c r="I47" s="6">
        <f t="shared" si="2"/>
        <v>68</v>
      </c>
    </row>
    <row r="48" spans="1:9" ht="14.25" customHeight="1" x14ac:dyDescent="0.35">
      <c r="A48" s="2" t="s">
        <v>184</v>
      </c>
      <c r="B48" s="3">
        <v>2002</v>
      </c>
      <c r="C48" s="3">
        <v>2018</v>
      </c>
      <c r="D48" s="3">
        <f>(C48-B48)</f>
        <v>16</v>
      </c>
      <c r="E48" s="4">
        <v>20</v>
      </c>
      <c r="F48" s="4">
        <v>1381</v>
      </c>
      <c r="G48" s="5">
        <f t="shared" si="0"/>
        <v>1361</v>
      </c>
      <c r="H48" s="6">
        <f t="shared" si="1"/>
        <v>6805</v>
      </c>
      <c r="I48" s="6">
        <f t="shared" si="2"/>
        <v>425</v>
      </c>
    </row>
    <row r="49" spans="1:9" ht="14.25" customHeight="1" x14ac:dyDescent="0.35">
      <c r="A49" s="2" t="s">
        <v>165</v>
      </c>
      <c r="B49" s="3">
        <v>2002</v>
      </c>
      <c r="C49" s="3">
        <v>2018</v>
      </c>
      <c r="D49" s="3">
        <f>(C49-B49)</f>
        <v>16</v>
      </c>
      <c r="E49" s="4">
        <v>9</v>
      </c>
      <c r="F49" s="4">
        <v>1293</v>
      </c>
      <c r="G49" s="5">
        <f t="shared" si="0"/>
        <v>1284</v>
      </c>
      <c r="H49" s="6">
        <f t="shared" si="1"/>
        <v>14266</v>
      </c>
      <c r="I49" s="6">
        <f t="shared" si="2"/>
        <v>891</v>
      </c>
    </row>
    <row r="50" spans="1:9" ht="14.25" customHeight="1" x14ac:dyDescent="0.35">
      <c r="A50" s="2" t="s">
        <v>49</v>
      </c>
      <c r="B50" s="3">
        <v>2002</v>
      </c>
      <c r="C50" s="3">
        <v>2018</v>
      </c>
      <c r="D50" s="3">
        <f>(C50-B50)</f>
        <v>16</v>
      </c>
      <c r="E50" s="4">
        <v>12</v>
      </c>
      <c r="F50" s="4">
        <v>99</v>
      </c>
      <c r="G50" s="5">
        <f t="shared" si="0"/>
        <v>87</v>
      </c>
      <c r="H50" s="6">
        <f t="shared" si="1"/>
        <v>725</v>
      </c>
      <c r="I50" s="6">
        <f t="shared" si="2"/>
        <v>45</v>
      </c>
    </row>
    <row r="51" spans="1:9" ht="14.25" customHeight="1" x14ac:dyDescent="0.35">
      <c r="A51" s="2" t="s">
        <v>283</v>
      </c>
      <c r="B51" s="3">
        <v>2002</v>
      </c>
      <c r="C51" s="3">
        <v>2018</v>
      </c>
      <c r="D51" s="3">
        <f>(C51-B51)</f>
        <v>16</v>
      </c>
      <c r="E51" s="4">
        <v>107</v>
      </c>
      <c r="F51" s="4">
        <v>1005</v>
      </c>
      <c r="G51" s="5">
        <f t="shared" si="0"/>
        <v>898</v>
      </c>
      <c r="H51" s="6">
        <f t="shared" si="1"/>
        <v>839</v>
      </c>
      <c r="I51" s="6">
        <f t="shared" si="2"/>
        <v>52</v>
      </c>
    </row>
    <row r="52" spans="1:9" ht="14.25" customHeight="1" x14ac:dyDescent="0.35">
      <c r="A52" s="2" t="s">
        <v>56</v>
      </c>
      <c r="B52" s="3">
        <v>2002</v>
      </c>
      <c r="C52" s="3">
        <v>2018</v>
      </c>
      <c r="D52" s="3">
        <f>(C52-B52)</f>
        <v>16</v>
      </c>
      <c r="E52" s="4">
        <v>2</v>
      </c>
      <c r="F52" s="4">
        <v>332</v>
      </c>
      <c r="G52" s="5">
        <f t="shared" si="0"/>
        <v>330</v>
      </c>
      <c r="H52" s="6">
        <f t="shared" si="1"/>
        <v>16500</v>
      </c>
      <c r="I52" s="6">
        <f t="shared" si="2"/>
        <v>1031</v>
      </c>
    </row>
    <row r="53" spans="1:9" ht="14.25" customHeight="1" x14ac:dyDescent="0.35">
      <c r="A53" s="2" t="s">
        <v>116</v>
      </c>
      <c r="B53" s="3">
        <v>2002</v>
      </c>
      <c r="C53" s="3">
        <v>2018</v>
      </c>
      <c r="D53" s="3">
        <f>(C53-B53)</f>
        <v>16</v>
      </c>
      <c r="E53" s="4">
        <v>16</v>
      </c>
      <c r="F53" s="4">
        <v>512</v>
      </c>
      <c r="G53" s="5">
        <f t="shared" si="0"/>
        <v>496</v>
      </c>
      <c r="H53" s="6">
        <f t="shared" si="1"/>
        <v>3100</v>
      </c>
      <c r="I53" s="6">
        <f t="shared" si="2"/>
        <v>193</v>
      </c>
    </row>
    <row r="54" spans="1:9" ht="14.25" customHeight="1" x14ac:dyDescent="0.35">
      <c r="A54" s="2" t="s">
        <v>22</v>
      </c>
      <c r="B54" s="3">
        <v>2002</v>
      </c>
      <c r="C54" s="3">
        <v>2018</v>
      </c>
      <c r="D54" s="3">
        <f>(C54-B54)</f>
        <v>16</v>
      </c>
      <c r="E54" s="4">
        <v>17</v>
      </c>
      <c r="F54" s="4">
        <v>358</v>
      </c>
      <c r="G54" s="5">
        <f t="shared" si="0"/>
        <v>341</v>
      </c>
      <c r="H54" s="6">
        <f t="shared" si="1"/>
        <v>2005</v>
      </c>
      <c r="I54" s="6">
        <f t="shared" si="2"/>
        <v>125</v>
      </c>
    </row>
    <row r="55" spans="1:9" ht="14.25" customHeight="1" x14ac:dyDescent="0.35">
      <c r="A55" s="2" t="s">
        <v>61</v>
      </c>
      <c r="B55" s="3">
        <v>2002</v>
      </c>
      <c r="C55" s="3">
        <v>2018</v>
      </c>
      <c r="D55" s="3">
        <f>(C55-B55)</f>
        <v>16</v>
      </c>
      <c r="E55" s="4">
        <v>12</v>
      </c>
      <c r="F55" s="4">
        <v>74</v>
      </c>
      <c r="G55" s="5">
        <f t="shared" si="0"/>
        <v>62</v>
      </c>
      <c r="H55" s="6">
        <f t="shared" si="1"/>
        <v>516</v>
      </c>
      <c r="I55" s="6">
        <f t="shared" si="2"/>
        <v>32</v>
      </c>
    </row>
    <row r="56" spans="1:9" ht="14.25" customHeight="1" x14ac:dyDescent="0.35">
      <c r="A56" s="2" t="s">
        <v>30</v>
      </c>
      <c r="B56" s="3">
        <v>2004</v>
      </c>
      <c r="C56" s="3">
        <v>2018</v>
      </c>
      <c r="D56" s="3">
        <f>(C56-B56)</f>
        <v>14</v>
      </c>
      <c r="E56" s="4">
        <v>97</v>
      </c>
      <c r="F56" s="4">
        <v>615</v>
      </c>
      <c r="G56" s="5">
        <f t="shared" si="0"/>
        <v>518</v>
      </c>
      <c r="H56" s="6">
        <f t="shared" si="1"/>
        <v>534</v>
      </c>
      <c r="I56" s="6">
        <f t="shared" si="2"/>
        <v>38</v>
      </c>
    </row>
    <row r="57" spans="1:9" ht="14.25" customHeight="1" x14ac:dyDescent="0.35">
      <c r="A57" s="2" t="s">
        <v>233</v>
      </c>
      <c r="B57" s="3">
        <v>2002</v>
      </c>
      <c r="C57" s="3">
        <v>2018</v>
      </c>
      <c r="D57" s="3">
        <f>(C57-B57)</f>
        <v>16</v>
      </c>
      <c r="E57" s="4">
        <v>24</v>
      </c>
      <c r="F57" s="4">
        <v>528</v>
      </c>
      <c r="G57" s="5">
        <f t="shared" si="0"/>
        <v>504</v>
      </c>
      <c r="H57" s="6">
        <f t="shared" si="1"/>
        <v>2100</v>
      </c>
      <c r="I57" s="6">
        <f t="shared" si="2"/>
        <v>131</v>
      </c>
    </row>
    <row r="58" spans="1:9" ht="14.25" customHeight="1" x14ac:dyDescent="0.35">
      <c r="A58" s="2" t="s">
        <v>329</v>
      </c>
      <c r="B58" s="3">
        <v>2010</v>
      </c>
      <c r="C58" s="3">
        <v>2018</v>
      </c>
      <c r="D58" s="3">
        <f>(C58-B58)</f>
        <v>8</v>
      </c>
      <c r="E58" s="4">
        <v>40</v>
      </c>
      <c r="F58" s="4">
        <v>180</v>
      </c>
      <c r="G58" s="5">
        <f t="shared" si="0"/>
        <v>140</v>
      </c>
      <c r="H58" s="6">
        <f t="shared" si="1"/>
        <v>350</v>
      </c>
      <c r="I58" s="6">
        <f t="shared" si="2"/>
        <v>43</v>
      </c>
    </row>
    <row r="59" spans="1:9" ht="14.25" customHeight="1" x14ac:dyDescent="0.35">
      <c r="A59" s="2" t="s">
        <v>204</v>
      </c>
      <c r="B59" s="3">
        <v>2002</v>
      </c>
      <c r="C59" s="3">
        <v>2018</v>
      </c>
      <c r="D59" s="3">
        <f>(C59-B59)</f>
        <v>16</v>
      </c>
      <c r="E59" s="4">
        <v>84</v>
      </c>
      <c r="F59" s="4">
        <v>3548</v>
      </c>
      <c r="G59" s="5">
        <f t="shared" si="0"/>
        <v>3464</v>
      </c>
      <c r="H59" s="6">
        <f t="shared" si="1"/>
        <v>4123</v>
      </c>
      <c r="I59" s="6">
        <f t="shared" si="2"/>
        <v>257</v>
      </c>
    </row>
    <row r="60" spans="1:9" ht="14.25" customHeight="1" x14ac:dyDescent="0.35">
      <c r="A60" s="2" t="s">
        <v>194</v>
      </c>
      <c r="B60" s="3">
        <v>2002</v>
      </c>
      <c r="C60" s="3">
        <v>2018</v>
      </c>
      <c r="D60" s="3">
        <f>(C60-B60)</f>
        <v>16</v>
      </c>
      <c r="E60" s="4">
        <v>13</v>
      </c>
      <c r="F60" s="4">
        <v>710</v>
      </c>
      <c r="G60" s="5">
        <f t="shared" si="0"/>
        <v>697</v>
      </c>
      <c r="H60" s="6">
        <f t="shared" si="1"/>
        <v>5361</v>
      </c>
      <c r="I60" s="6">
        <f t="shared" si="2"/>
        <v>335</v>
      </c>
    </row>
    <row r="61" spans="1:9" ht="14.25" customHeight="1" x14ac:dyDescent="0.35">
      <c r="A61" s="2" t="s">
        <v>367</v>
      </c>
      <c r="B61" s="3">
        <v>2002</v>
      </c>
      <c r="C61" s="3">
        <v>2018</v>
      </c>
      <c r="D61" s="3">
        <f>(C61-B61)</f>
        <v>16</v>
      </c>
      <c r="E61" s="4">
        <v>11</v>
      </c>
      <c r="F61" s="4">
        <v>134</v>
      </c>
      <c r="G61" s="5">
        <f t="shared" si="0"/>
        <v>123</v>
      </c>
      <c r="H61" s="6">
        <f t="shared" si="1"/>
        <v>1118</v>
      </c>
      <c r="I61" s="6">
        <f t="shared" si="2"/>
        <v>69</v>
      </c>
    </row>
    <row r="62" spans="1:9" ht="14.25" customHeight="1" x14ac:dyDescent="0.35">
      <c r="A62" s="2" t="s">
        <v>82</v>
      </c>
      <c r="B62" s="3">
        <v>2002</v>
      </c>
      <c r="C62" s="3">
        <v>2018</v>
      </c>
      <c r="D62" s="3">
        <f>(C62-B62)</f>
        <v>16</v>
      </c>
      <c r="E62" s="4">
        <v>315</v>
      </c>
      <c r="F62" s="4">
        <v>18000</v>
      </c>
      <c r="G62" s="5">
        <f t="shared" si="0"/>
        <v>17685</v>
      </c>
      <c r="H62" s="6">
        <f t="shared" si="1"/>
        <v>5614</v>
      </c>
      <c r="I62" s="6">
        <f t="shared" si="2"/>
        <v>350</v>
      </c>
    </row>
    <row r="63" spans="1:9" ht="14.25" customHeight="1" x14ac:dyDescent="0.35">
      <c r="A63" s="2" t="s">
        <v>25</v>
      </c>
      <c r="B63" s="3">
        <v>2002</v>
      </c>
      <c r="C63" s="3">
        <v>2018</v>
      </c>
      <c r="D63" s="3">
        <f>(C63-B63)</f>
        <v>16</v>
      </c>
      <c r="E63" s="4">
        <v>47</v>
      </c>
      <c r="F63" s="4">
        <v>381</v>
      </c>
      <c r="G63" s="5">
        <f t="shared" si="0"/>
        <v>334</v>
      </c>
      <c r="H63" s="6">
        <f t="shared" si="1"/>
        <v>710</v>
      </c>
      <c r="I63" s="6">
        <f t="shared" si="2"/>
        <v>44</v>
      </c>
    </row>
    <row r="64" spans="1:9" ht="14.25" customHeight="1" x14ac:dyDescent="0.35">
      <c r="A64" s="2" t="s">
        <v>460</v>
      </c>
      <c r="B64" s="3">
        <v>2008</v>
      </c>
      <c r="C64" s="3">
        <v>2018</v>
      </c>
      <c r="D64" s="3">
        <f>(C64-B64)</f>
        <v>10</v>
      </c>
      <c r="E64" s="4">
        <v>383</v>
      </c>
      <c r="F64" s="4">
        <v>252</v>
      </c>
      <c r="G64" s="5">
        <f t="shared" si="0"/>
        <v>-131</v>
      </c>
      <c r="H64" s="6">
        <f t="shared" si="1"/>
        <v>-35</v>
      </c>
      <c r="I64" s="6">
        <f t="shared" si="2"/>
        <v>-4</v>
      </c>
    </row>
    <row r="65" spans="1:9" ht="14.25" customHeight="1" x14ac:dyDescent="0.35">
      <c r="A65" s="2" t="s">
        <v>52</v>
      </c>
      <c r="B65" s="3">
        <v>2002</v>
      </c>
      <c r="C65" s="3">
        <v>2018</v>
      </c>
      <c r="D65" s="3">
        <f>(C65-B65)</f>
        <v>16</v>
      </c>
      <c r="E65" s="4">
        <v>51</v>
      </c>
      <c r="F65" s="4">
        <v>3000</v>
      </c>
      <c r="G65" s="5">
        <f t="shared" si="0"/>
        <v>2949</v>
      </c>
      <c r="H65" s="6">
        <f t="shared" si="1"/>
        <v>5782</v>
      </c>
      <c r="I65" s="6">
        <f t="shared" si="2"/>
        <v>361</v>
      </c>
    </row>
    <row r="66" spans="1:9" ht="14.25" customHeight="1" x14ac:dyDescent="0.35">
      <c r="A66" s="2" t="s">
        <v>493</v>
      </c>
      <c r="B66" s="3">
        <v>2017</v>
      </c>
      <c r="C66" s="3">
        <v>2018</v>
      </c>
      <c r="D66" s="3">
        <f>(C66-B66)</f>
        <v>1</v>
      </c>
      <c r="E66" s="4">
        <v>1069</v>
      </c>
      <c r="F66" s="4">
        <v>614</v>
      </c>
      <c r="G66" s="5">
        <f t="shared" si="0"/>
        <v>-455</v>
      </c>
      <c r="H66" s="6">
        <f t="shared" si="1"/>
        <v>-43</v>
      </c>
      <c r="I66" s="6">
        <f t="shared" si="2"/>
        <v>-43</v>
      </c>
    </row>
    <row r="67" spans="1:9" ht="14.25" customHeight="1" x14ac:dyDescent="0.35">
      <c r="A67" s="2" t="s">
        <v>20</v>
      </c>
      <c r="B67" s="3">
        <v>2002</v>
      </c>
      <c r="C67" s="3">
        <v>2018</v>
      </c>
      <c r="D67" s="3">
        <f>(C67-B67)</f>
        <v>16</v>
      </c>
      <c r="E67" s="4">
        <v>9</v>
      </c>
      <c r="F67" s="4">
        <v>344</v>
      </c>
      <c r="G67" s="5">
        <f t="shared" ref="G67:G130" si="3">INT((F67-E67))</f>
        <v>335</v>
      </c>
      <c r="H67" s="6">
        <f t="shared" ref="H67:H130" si="4">INT(G67*100/E67)</f>
        <v>3722</v>
      </c>
      <c r="I67" s="6">
        <f t="shared" ref="I67:I130" si="5">INT(H67/D67)</f>
        <v>232</v>
      </c>
    </row>
    <row r="68" spans="1:9" ht="14.25" customHeight="1" x14ac:dyDescent="0.35">
      <c r="A68" s="2" t="s">
        <v>128</v>
      </c>
      <c r="B68" s="3">
        <v>2002</v>
      </c>
      <c r="C68" s="3">
        <v>2018</v>
      </c>
      <c r="D68" s="3">
        <f>(C68-B68)</f>
        <v>16</v>
      </c>
      <c r="E68" s="4">
        <v>49</v>
      </c>
      <c r="F68" s="4">
        <v>296</v>
      </c>
      <c r="G68" s="5">
        <f t="shared" si="3"/>
        <v>247</v>
      </c>
      <c r="H68" s="6">
        <f t="shared" si="4"/>
        <v>504</v>
      </c>
      <c r="I68" s="6">
        <f t="shared" si="5"/>
        <v>31</v>
      </c>
    </row>
    <row r="69" spans="1:9" ht="14.25" customHeight="1" x14ac:dyDescent="0.35">
      <c r="A69" s="2" t="s">
        <v>188</v>
      </c>
      <c r="B69" s="3">
        <v>2002</v>
      </c>
      <c r="C69" s="3">
        <v>2018</v>
      </c>
      <c r="D69" s="3">
        <f>(C69-B69)</f>
        <v>16</v>
      </c>
      <c r="E69" s="4">
        <v>5</v>
      </c>
      <c r="F69" s="4">
        <v>349</v>
      </c>
      <c r="G69" s="5">
        <f t="shared" si="3"/>
        <v>344</v>
      </c>
      <c r="H69" s="6">
        <f t="shared" si="4"/>
        <v>6880</v>
      </c>
      <c r="I69" s="6">
        <f t="shared" si="5"/>
        <v>430</v>
      </c>
    </row>
    <row r="70" spans="1:9" ht="14.25" customHeight="1" x14ac:dyDescent="0.35">
      <c r="A70" s="2" t="s">
        <v>208</v>
      </c>
      <c r="B70" s="3">
        <v>2014</v>
      </c>
      <c r="C70" s="3">
        <v>2018</v>
      </c>
      <c r="D70" s="3">
        <f>(C70-B70)</f>
        <v>4</v>
      </c>
      <c r="E70" s="4">
        <v>39</v>
      </c>
      <c r="F70" s="4">
        <v>401</v>
      </c>
      <c r="G70" s="5">
        <f t="shared" si="3"/>
        <v>362</v>
      </c>
      <c r="H70" s="6">
        <f t="shared" si="4"/>
        <v>928</v>
      </c>
      <c r="I70" s="6">
        <f t="shared" si="5"/>
        <v>232</v>
      </c>
    </row>
    <row r="71" spans="1:9" ht="14.25" customHeight="1" x14ac:dyDescent="0.35">
      <c r="A71" s="2" t="s">
        <v>187</v>
      </c>
      <c r="B71" s="3">
        <v>2002</v>
      </c>
      <c r="C71" s="3">
        <v>2018</v>
      </c>
      <c r="D71" s="3">
        <f>(C71-B71)</f>
        <v>16</v>
      </c>
      <c r="E71" s="4">
        <v>6</v>
      </c>
      <c r="F71" s="4">
        <v>407</v>
      </c>
      <c r="G71" s="5">
        <f t="shared" si="3"/>
        <v>401</v>
      </c>
      <c r="H71" s="6">
        <f t="shared" si="4"/>
        <v>6683</v>
      </c>
      <c r="I71" s="6">
        <f t="shared" si="5"/>
        <v>417</v>
      </c>
    </row>
    <row r="72" spans="1:9" ht="14.25" customHeight="1" x14ac:dyDescent="0.35">
      <c r="A72" s="2" t="s">
        <v>351</v>
      </c>
      <c r="B72" s="3">
        <v>2012</v>
      </c>
      <c r="C72" s="3">
        <v>2018</v>
      </c>
      <c r="D72" s="3">
        <f>(C72-B72)</f>
        <v>6</v>
      </c>
      <c r="E72" s="4">
        <v>927</v>
      </c>
      <c r="F72" s="4">
        <v>992</v>
      </c>
      <c r="G72" s="5">
        <f t="shared" si="3"/>
        <v>65</v>
      </c>
      <c r="H72" s="6">
        <f t="shared" si="4"/>
        <v>7</v>
      </c>
      <c r="I72" s="6">
        <f t="shared" si="5"/>
        <v>1</v>
      </c>
    </row>
    <row r="73" spans="1:9" ht="14.25" customHeight="1" x14ac:dyDescent="0.35">
      <c r="A73" s="2" t="s">
        <v>47</v>
      </c>
      <c r="B73" s="3">
        <v>2007</v>
      </c>
      <c r="C73" s="3">
        <v>2018</v>
      </c>
      <c r="D73" s="3">
        <f>(C73-B73)</f>
        <v>11</v>
      </c>
      <c r="E73" s="4">
        <v>33</v>
      </c>
      <c r="F73" s="4">
        <v>166</v>
      </c>
      <c r="G73" s="5">
        <f t="shared" si="3"/>
        <v>133</v>
      </c>
      <c r="H73" s="6">
        <f t="shared" si="4"/>
        <v>403</v>
      </c>
      <c r="I73" s="6">
        <f t="shared" si="5"/>
        <v>36</v>
      </c>
    </row>
    <row r="74" spans="1:9" ht="14.25" customHeight="1" x14ac:dyDescent="0.35">
      <c r="A74" s="2" t="s">
        <v>214</v>
      </c>
      <c r="B74" s="3">
        <v>2004</v>
      </c>
      <c r="C74" s="3">
        <v>2018</v>
      </c>
      <c r="D74" s="3">
        <f>(C74-B74)</f>
        <v>14</v>
      </c>
      <c r="E74" s="4">
        <v>7</v>
      </c>
      <c r="F74" s="4">
        <v>292</v>
      </c>
      <c r="G74" s="5">
        <f t="shared" si="3"/>
        <v>285</v>
      </c>
      <c r="H74" s="6">
        <f t="shared" si="4"/>
        <v>4071</v>
      </c>
      <c r="I74" s="6">
        <f t="shared" si="5"/>
        <v>290</v>
      </c>
    </row>
    <row r="75" spans="1:9" ht="14.25" customHeight="1" x14ac:dyDescent="0.35">
      <c r="A75" s="2" t="s">
        <v>465</v>
      </c>
      <c r="B75" s="3">
        <v>2017</v>
      </c>
      <c r="C75" s="3">
        <v>2018</v>
      </c>
      <c r="D75" s="3">
        <f>(C75-B75)</f>
        <v>1</v>
      </c>
      <c r="E75" s="4">
        <v>262</v>
      </c>
      <c r="F75" s="4">
        <v>238</v>
      </c>
      <c r="G75" s="5">
        <f t="shared" si="3"/>
        <v>-24</v>
      </c>
      <c r="H75" s="6">
        <f t="shared" si="4"/>
        <v>-10</v>
      </c>
      <c r="I75" s="6">
        <f t="shared" si="5"/>
        <v>-10</v>
      </c>
    </row>
    <row r="76" spans="1:9" ht="14.25" customHeight="1" x14ac:dyDescent="0.35">
      <c r="A76" s="2" t="s">
        <v>267</v>
      </c>
      <c r="B76" s="3">
        <v>2008</v>
      </c>
      <c r="C76" s="3">
        <v>2018</v>
      </c>
      <c r="D76" s="3">
        <f>(C76-B76)</f>
        <v>10</v>
      </c>
      <c r="E76" s="4">
        <v>181</v>
      </c>
      <c r="F76" s="4">
        <v>1130</v>
      </c>
      <c r="G76" s="5">
        <f t="shared" si="3"/>
        <v>949</v>
      </c>
      <c r="H76" s="6">
        <f t="shared" si="4"/>
        <v>524</v>
      </c>
      <c r="I76" s="6">
        <f t="shared" si="5"/>
        <v>52</v>
      </c>
    </row>
    <row r="77" spans="1:9" ht="14.25" customHeight="1" x14ac:dyDescent="0.35">
      <c r="A77" s="2" t="s">
        <v>448</v>
      </c>
      <c r="B77" s="3">
        <v>2007</v>
      </c>
      <c r="C77" s="3">
        <v>2018</v>
      </c>
      <c r="D77" s="3">
        <f>(C77-B77)</f>
        <v>11</v>
      </c>
      <c r="E77" s="4">
        <v>98</v>
      </c>
      <c r="F77" s="4">
        <v>36</v>
      </c>
      <c r="G77" s="5">
        <f t="shared" si="3"/>
        <v>-62</v>
      </c>
      <c r="H77" s="6">
        <f t="shared" si="4"/>
        <v>-64</v>
      </c>
      <c r="I77" s="6">
        <f t="shared" si="5"/>
        <v>-6</v>
      </c>
    </row>
    <row r="78" spans="1:9" ht="14.25" customHeight="1" x14ac:dyDescent="0.35">
      <c r="A78" s="2" t="s">
        <v>331</v>
      </c>
      <c r="B78" s="3">
        <v>2006</v>
      </c>
      <c r="C78" s="3">
        <v>2018</v>
      </c>
      <c r="D78" s="3">
        <f>(C78-B78)</f>
        <v>12</v>
      </c>
      <c r="E78" s="4">
        <v>19</v>
      </c>
      <c r="F78" s="4">
        <v>218</v>
      </c>
      <c r="G78" s="5">
        <f t="shared" si="3"/>
        <v>199</v>
      </c>
      <c r="H78" s="6">
        <f t="shared" si="4"/>
        <v>1047</v>
      </c>
      <c r="I78" s="6">
        <f t="shared" si="5"/>
        <v>87</v>
      </c>
    </row>
    <row r="79" spans="1:9" ht="14.25" customHeight="1" x14ac:dyDescent="0.35">
      <c r="A79" s="2" t="s">
        <v>191</v>
      </c>
      <c r="B79" s="3">
        <v>2007</v>
      </c>
      <c r="C79" s="3">
        <v>2018</v>
      </c>
      <c r="D79" s="3">
        <f>(C79-B79)</f>
        <v>11</v>
      </c>
      <c r="E79" s="4">
        <v>71</v>
      </c>
      <c r="F79" s="4">
        <v>2900</v>
      </c>
      <c r="G79" s="5">
        <f t="shared" si="3"/>
        <v>2829</v>
      </c>
      <c r="H79" s="6">
        <f t="shared" si="4"/>
        <v>3984</v>
      </c>
      <c r="I79" s="6">
        <f t="shared" si="5"/>
        <v>362</v>
      </c>
    </row>
    <row r="80" spans="1:9" ht="14.25" customHeight="1" x14ac:dyDescent="0.35">
      <c r="A80" s="2" t="s">
        <v>415</v>
      </c>
      <c r="B80" s="3">
        <v>2000</v>
      </c>
      <c r="C80" s="3">
        <v>2018</v>
      </c>
      <c r="D80" s="3">
        <f>(C80-B80)</f>
        <v>18</v>
      </c>
      <c r="E80" s="4">
        <v>5</v>
      </c>
      <c r="F80" s="4">
        <v>40</v>
      </c>
      <c r="G80" s="5">
        <f t="shared" si="3"/>
        <v>35</v>
      </c>
      <c r="H80" s="6">
        <f t="shared" si="4"/>
        <v>700</v>
      </c>
      <c r="I80" s="6">
        <f t="shared" si="5"/>
        <v>38</v>
      </c>
    </row>
    <row r="81" spans="1:9" ht="14.25" customHeight="1" x14ac:dyDescent="0.35">
      <c r="A81" s="2" t="s">
        <v>358</v>
      </c>
      <c r="B81" s="3">
        <v>2002</v>
      </c>
      <c r="C81" s="3">
        <v>2018</v>
      </c>
      <c r="D81" s="3">
        <f>(C81-B81)</f>
        <v>16</v>
      </c>
      <c r="E81" s="4">
        <v>14</v>
      </c>
      <c r="F81" s="4">
        <v>163</v>
      </c>
      <c r="G81" s="5">
        <f t="shared" si="3"/>
        <v>149</v>
      </c>
      <c r="H81" s="6">
        <f t="shared" si="4"/>
        <v>1064</v>
      </c>
      <c r="I81" s="6">
        <f t="shared" si="5"/>
        <v>66</v>
      </c>
    </row>
    <row r="82" spans="1:9" ht="14.25" customHeight="1" x14ac:dyDescent="0.35">
      <c r="A82" s="2" t="s">
        <v>335</v>
      </c>
      <c r="B82" s="3">
        <v>2002</v>
      </c>
      <c r="C82" s="3">
        <v>2018</v>
      </c>
      <c r="D82" s="3">
        <f>(C82-B82)</f>
        <v>16</v>
      </c>
      <c r="E82" s="4">
        <v>34</v>
      </c>
      <c r="F82" s="4">
        <v>270</v>
      </c>
      <c r="G82" s="5">
        <f t="shared" si="3"/>
        <v>236</v>
      </c>
      <c r="H82" s="6">
        <f t="shared" si="4"/>
        <v>694</v>
      </c>
      <c r="I82" s="6">
        <f t="shared" si="5"/>
        <v>43</v>
      </c>
    </row>
    <row r="83" spans="1:9" ht="14.25" customHeight="1" x14ac:dyDescent="0.35">
      <c r="A83" s="2" t="s">
        <v>36</v>
      </c>
      <c r="B83" s="3">
        <v>2002</v>
      </c>
      <c r="C83" s="3">
        <v>2018</v>
      </c>
      <c r="D83" s="3">
        <f>(C83-B83)</f>
        <v>16</v>
      </c>
      <c r="E83" s="4">
        <v>45</v>
      </c>
      <c r="F83" s="4">
        <v>1488</v>
      </c>
      <c r="G83" s="5">
        <f t="shared" si="3"/>
        <v>1443</v>
      </c>
      <c r="H83" s="6">
        <f t="shared" si="4"/>
        <v>3206</v>
      </c>
      <c r="I83" s="6">
        <f t="shared" si="5"/>
        <v>200</v>
      </c>
    </row>
    <row r="84" spans="1:9" ht="14.25" customHeight="1" x14ac:dyDescent="0.35">
      <c r="A84" s="2" t="s">
        <v>28</v>
      </c>
      <c r="B84" s="3">
        <v>2002</v>
      </c>
      <c r="C84" s="3">
        <v>2018</v>
      </c>
      <c r="D84" s="3">
        <f>(C84-B84)</f>
        <v>16</v>
      </c>
      <c r="E84" s="4">
        <v>90</v>
      </c>
      <c r="F84" s="4">
        <v>522</v>
      </c>
      <c r="G84" s="5">
        <f t="shared" si="3"/>
        <v>432</v>
      </c>
      <c r="H84" s="6">
        <f t="shared" si="4"/>
        <v>480</v>
      </c>
      <c r="I84" s="6">
        <f t="shared" si="5"/>
        <v>30</v>
      </c>
    </row>
    <row r="85" spans="1:9" ht="14.25" customHeight="1" x14ac:dyDescent="0.35">
      <c r="A85" s="2" t="s">
        <v>31</v>
      </c>
      <c r="B85" s="3">
        <v>2010</v>
      </c>
      <c r="C85" s="3">
        <v>2018</v>
      </c>
      <c r="D85" s="3">
        <f>(C85-B85)</f>
        <v>8</v>
      </c>
      <c r="E85" s="4">
        <v>348</v>
      </c>
      <c r="F85" s="4">
        <v>236</v>
      </c>
      <c r="G85" s="5">
        <f t="shared" si="3"/>
        <v>-112</v>
      </c>
      <c r="H85" s="6">
        <f t="shared" si="4"/>
        <v>-33</v>
      </c>
      <c r="I85" s="6">
        <f t="shared" si="5"/>
        <v>-5</v>
      </c>
    </row>
    <row r="86" spans="1:9" ht="14.25" customHeight="1" x14ac:dyDescent="0.35">
      <c r="A86" s="2" t="s">
        <v>489</v>
      </c>
      <c r="B86" s="3">
        <v>2017</v>
      </c>
      <c r="C86" s="3">
        <v>2018</v>
      </c>
      <c r="D86" s="3">
        <f>(C86-B86)</f>
        <v>1</v>
      </c>
      <c r="E86" s="4">
        <v>528</v>
      </c>
      <c r="F86" s="4">
        <v>391</v>
      </c>
      <c r="G86" s="5">
        <f t="shared" si="3"/>
        <v>-137</v>
      </c>
      <c r="H86" s="6">
        <f t="shared" si="4"/>
        <v>-26</v>
      </c>
      <c r="I86" s="6">
        <f t="shared" si="5"/>
        <v>-26</v>
      </c>
    </row>
    <row r="87" spans="1:9" ht="14.25" customHeight="1" x14ac:dyDescent="0.35">
      <c r="A87" s="2" t="s">
        <v>409</v>
      </c>
      <c r="B87" s="3">
        <v>2015</v>
      </c>
      <c r="C87" s="3">
        <v>2018</v>
      </c>
      <c r="D87" s="3">
        <f>(C87-B87)</f>
        <v>3</v>
      </c>
      <c r="E87" s="4">
        <v>271</v>
      </c>
      <c r="F87" s="4">
        <v>278</v>
      </c>
      <c r="G87" s="5">
        <f t="shared" si="3"/>
        <v>7</v>
      </c>
      <c r="H87" s="6">
        <f t="shared" si="4"/>
        <v>2</v>
      </c>
      <c r="I87" s="6">
        <f t="shared" si="5"/>
        <v>0</v>
      </c>
    </row>
    <row r="88" spans="1:9" ht="14.25" customHeight="1" x14ac:dyDescent="0.35">
      <c r="A88" s="2" t="s">
        <v>26</v>
      </c>
      <c r="B88" s="3">
        <v>2002</v>
      </c>
      <c r="C88" s="3">
        <v>2018</v>
      </c>
      <c r="D88" s="3">
        <f>(C88-B88)</f>
        <v>16</v>
      </c>
      <c r="E88" s="4">
        <v>69</v>
      </c>
      <c r="F88" s="4">
        <v>1246</v>
      </c>
      <c r="G88" s="5">
        <f t="shared" si="3"/>
        <v>1177</v>
      </c>
      <c r="H88" s="6">
        <f t="shared" si="4"/>
        <v>1705</v>
      </c>
      <c r="I88" s="6">
        <f t="shared" si="5"/>
        <v>106</v>
      </c>
    </row>
    <row r="89" spans="1:9" ht="14.25" customHeight="1" x14ac:dyDescent="0.35">
      <c r="A89" s="2" t="s">
        <v>35</v>
      </c>
      <c r="B89" s="3">
        <v>2002</v>
      </c>
      <c r="C89" s="3">
        <v>2018</v>
      </c>
      <c r="D89" s="3">
        <f>(C89-B89)</f>
        <v>16</v>
      </c>
      <c r="E89" s="4">
        <v>32</v>
      </c>
      <c r="F89" s="4">
        <v>533</v>
      </c>
      <c r="G89" s="5">
        <f t="shared" si="3"/>
        <v>501</v>
      </c>
      <c r="H89" s="6">
        <f t="shared" si="4"/>
        <v>1565</v>
      </c>
      <c r="I89" s="6">
        <f t="shared" si="5"/>
        <v>97</v>
      </c>
    </row>
    <row r="90" spans="1:9" ht="14.25" customHeight="1" x14ac:dyDescent="0.35">
      <c r="A90" s="2" t="s">
        <v>294</v>
      </c>
      <c r="B90" s="3">
        <v>2009</v>
      </c>
      <c r="C90" s="3">
        <v>2018</v>
      </c>
      <c r="D90" s="3">
        <f>(C90-B90)</f>
        <v>9</v>
      </c>
      <c r="E90" s="4">
        <v>110</v>
      </c>
      <c r="F90" s="4">
        <v>491</v>
      </c>
      <c r="G90" s="5">
        <f t="shared" si="3"/>
        <v>381</v>
      </c>
      <c r="H90" s="6">
        <f t="shared" si="4"/>
        <v>346</v>
      </c>
      <c r="I90" s="6">
        <f t="shared" si="5"/>
        <v>38</v>
      </c>
    </row>
    <row r="91" spans="1:9" ht="14.25" customHeight="1" x14ac:dyDescent="0.35">
      <c r="A91" s="2" t="s">
        <v>421</v>
      </c>
      <c r="B91" s="3">
        <v>2002</v>
      </c>
      <c r="C91" s="3">
        <v>2018</v>
      </c>
      <c r="D91" s="3">
        <f>(C91-B91)</f>
        <v>16</v>
      </c>
      <c r="E91" s="4">
        <v>23</v>
      </c>
      <c r="F91" s="4">
        <v>29</v>
      </c>
      <c r="G91" s="5">
        <f t="shared" si="3"/>
        <v>6</v>
      </c>
      <c r="H91" s="6">
        <f t="shared" si="4"/>
        <v>26</v>
      </c>
      <c r="I91" s="6">
        <f t="shared" si="5"/>
        <v>1</v>
      </c>
    </row>
    <row r="92" spans="1:9" ht="14.25" customHeight="1" x14ac:dyDescent="0.35">
      <c r="A92" s="2" t="s">
        <v>209</v>
      </c>
      <c r="B92" s="3">
        <v>2002</v>
      </c>
      <c r="C92" s="3">
        <v>2018</v>
      </c>
      <c r="D92" s="3">
        <f>(C92-B92)</f>
        <v>16</v>
      </c>
      <c r="E92" s="4">
        <v>32</v>
      </c>
      <c r="F92" s="4">
        <v>1442</v>
      </c>
      <c r="G92" s="5">
        <f t="shared" si="3"/>
        <v>1410</v>
      </c>
      <c r="H92" s="6">
        <f t="shared" si="4"/>
        <v>4406</v>
      </c>
      <c r="I92" s="6">
        <f t="shared" si="5"/>
        <v>275</v>
      </c>
    </row>
    <row r="93" spans="1:9" ht="14.25" customHeight="1" x14ac:dyDescent="0.35">
      <c r="A93" s="2" t="s">
        <v>288</v>
      </c>
      <c r="B93" s="3">
        <v>2016</v>
      </c>
      <c r="C93" s="3">
        <v>2018</v>
      </c>
      <c r="D93" s="3">
        <f>(C93-B93)</f>
        <v>2</v>
      </c>
      <c r="E93" s="4">
        <v>135</v>
      </c>
      <c r="F93" s="4">
        <v>225</v>
      </c>
      <c r="G93" s="5">
        <f t="shared" si="3"/>
        <v>90</v>
      </c>
      <c r="H93" s="6">
        <f t="shared" si="4"/>
        <v>66</v>
      </c>
      <c r="I93" s="6">
        <f t="shared" si="5"/>
        <v>33</v>
      </c>
    </row>
    <row r="94" spans="1:9" ht="14.25" customHeight="1" x14ac:dyDescent="0.35">
      <c r="A94" s="2" t="s">
        <v>174</v>
      </c>
      <c r="B94" s="3">
        <v>2002</v>
      </c>
      <c r="C94" s="3">
        <v>2018</v>
      </c>
      <c r="D94" s="3">
        <f>(C94-B94)</f>
        <v>16</v>
      </c>
      <c r="E94" s="4">
        <v>2</v>
      </c>
      <c r="F94" s="4">
        <v>202</v>
      </c>
      <c r="G94" s="5">
        <f t="shared" si="3"/>
        <v>200</v>
      </c>
      <c r="H94" s="6">
        <f t="shared" si="4"/>
        <v>10000</v>
      </c>
      <c r="I94" s="6">
        <f t="shared" si="5"/>
        <v>625</v>
      </c>
    </row>
    <row r="95" spans="1:9" ht="14.25" customHeight="1" x14ac:dyDescent="0.35">
      <c r="A95" s="2" t="s">
        <v>5</v>
      </c>
      <c r="B95" s="3">
        <v>2002</v>
      </c>
      <c r="C95" s="3">
        <v>2018</v>
      </c>
      <c r="D95" s="3">
        <f>(C95-B95)</f>
        <v>16</v>
      </c>
      <c r="E95" s="4">
        <v>43</v>
      </c>
      <c r="F95" s="4">
        <v>744</v>
      </c>
      <c r="G95" s="5">
        <f t="shared" si="3"/>
        <v>701</v>
      </c>
      <c r="H95" s="6">
        <f t="shared" si="4"/>
        <v>1630</v>
      </c>
      <c r="I95" s="6">
        <f t="shared" si="5"/>
        <v>101</v>
      </c>
    </row>
    <row r="96" spans="1:9" ht="14.25" customHeight="1" x14ac:dyDescent="0.35">
      <c r="A96" s="2" t="s">
        <v>213</v>
      </c>
      <c r="B96" s="3">
        <v>1998</v>
      </c>
      <c r="C96" s="3">
        <v>2018</v>
      </c>
      <c r="D96" s="3">
        <f>(C96-B96)</f>
        <v>20</v>
      </c>
      <c r="E96" s="4">
        <v>13</v>
      </c>
      <c r="F96" s="4">
        <v>580</v>
      </c>
      <c r="G96" s="5">
        <f t="shared" si="3"/>
        <v>567</v>
      </c>
      <c r="H96" s="6">
        <f t="shared" si="4"/>
        <v>4361</v>
      </c>
      <c r="I96" s="6">
        <f t="shared" si="5"/>
        <v>218</v>
      </c>
    </row>
    <row r="97" spans="1:9" ht="14.25" customHeight="1" x14ac:dyDescent="0.35">
      <c r="A97" s="2" t="s">
        <v>46</v>
      </c>
      <c r="B97" s="3">
        <v>2000</v>
      </c>
      <c r="C97" s="3">
        <v>2018</v>
      </c>
      <c r="D97" s="3">
        <f>(C97-B97)</f>
        <v>18</v>
      </c>
      <c r="E97" s="4">
        <v>24</v>
      </c>
      <c r="F97" s="4">
        <v>401</v>
      </c>
      <c r="G97" s="5">
        <f t="shared" si="3"/>
        <v>377</v>
      </c>
      <c r="H97" s="6">
        <f t="shared" si="4"/>
        <v>1570</v>
      </c>
      <c r="I97" s="6">
        <f t="shared" si="5"/>
        <v>87</v>
      </c>
    </row>
    <row r="98" spans="1:9" ht="14.25" customHeight="1" x14ac:dyDescent="0.35">
      <c r="A98" s="2" t="s">
        <v>455</v>
      </c>
      <c r="B98" s="3">
        <v>2010</v>
      </c>
      <c r="C98" s="3">
        <v>2018</v>
      </c>
      <c r="D98" s="3">
        <f>(C98-B98)</f>
        <v>8</v>
      </c>
      <c r="E98" s="4">
        <v>253</v>
      </c>
      <c r="F98" s="4">
        <v>185</v>
      </c>
      <c r="G98" s="5">
        <f t="shared" si="3"/>
        <v>-68</v>
      </c>
      <c r="H98" s="6">
        <f t="shared" si="4"/>
        <v>-27</v>
      </c>
      <c r="I98" s="6">
        <f t="shared" si="5"/>
        <v>-4</v>
      </c>
    </row>
    <row r="99" spans="1:9" ht="14.25" customHeight="1" x14ac:dyDescent="0.35">
      <c r="A99" s="2" t="s">
        <v>255</v>
      </c>
      <c r="B99" s="3">
        <v>2016</v>
      </c>
      <c r="C99" s="3">
        <v>2018</v>
      </c>
      <c r="D99" s="3">
        <f>(C99-B99)</f>
        <v>2</v>
      </c>
      <c r="E99" s="4">
        <v>244</v>
      </c>
      <c r="F99" s="4">
        <v>647</v>
      </c>
      <c r="G99" s="5">
        <f t="shared" si="3"/>
        <v>403</v>
      </c>
      <c r="H99" s="6">
        <f t="shared" si="4"/>
        <v>165</v>
      </c>
      <c r="I99" s="6">
        <f t="shared" si="5"/>
        <v>82</v>
      </c>
    </row>
    <row r="100" spans="1:9" ht="14.25" customHeight="1" x14ac:dyDescent="0.35">
      <c r="A100" s="2" t="s">
        <v>487</v>
      </c>
      <c r="B100" s="3">
        <v>2017</v>
      </c>
      <c r="C100" s="3">
        <v>2018</v>
      </c>
      <c r="D100" s="3">
        <f>(C100-B100)</f>
        <v>1</v>
      </c>
      <c r="E100" s="4">
        <v>334</v>
      </c>
      <c r="F100" s="4">
        <v>217</v>
      </c>
      <c r="G100" s="5">
        <f t="shared" si="3"/>
        <v>-117</v>
      </c>
      <c r="H100" s="6">
        <f t="shared" si="4"/>
        <v>-36</v>
      </c>
      <c r="I100" s="6">
        <f t="shared" si="5"/>
        <v>-36</v>
      </c>
    </row>
    <row r="101" spans="1:9" ht="14.25" customHeight="1" x14ac:dyDescent="0.35">
      <c r="A101" s="2" t="s">
        <v>338</v>
      </c>
      <c r="B101" s="3">
        <v>2006</v>
      </c>
      <c r="C101" s="3">
        <v>2018</v>
      </c>
      <c r="D101" s="3">
        <f>(C101-B101)</f>
        <v>12</v>
      </c>
      <c r="E101" s="4">
        <v>47</v>
      </c>
      <c r="F101" s="4">
        <v>204</v>
      </c>
      <c r="G101" s="5">
        <f t="shared" si="3"/>
        <v>157</v>
      </c>
      <c r="H101" s="6">
        <f t="shared" si="4"/>
        <v>334</v>
      </c>
      <c r="I101" s="6">
        <f t="shared" si="5"/>
        <v>27</v>
      </c>
    </row>
    <row r="102" spans="1:9" ht="14.25" customHeight="1" x14ac:dyDescent="0.35">
      <c r="A102" s="2" t="s">
        <v>198</v>
      </c>
      <c r="B102" s="3">
        <v>2002</v>
      </c>
      <c r="C102" s="3">
        <v>2018</v>
      </c>
      <c r="D102" s="3">
        <f>(C102-B102)</f>
        <v>16</v>
      </c>
      <c r="E102" s="4">
        <v>7</v>
      </c>
      <c r="F102" s="4">
        <v>408</v>
      </c>
      <c r="G102" s="5">
        <f t="shared" si="3"/>
        <v>401</v>
      </c>
      <c r="H102" s="6">
        <f t="shared" si="4"/>
        <v>5728</v>
      </c>
      <c r="I102" s="6">
        <f t="shared" si="5"/>
        <v>358</v>
      </c>
    </row>
    <row r="103" spans="1:9" ht="14.25" customHeight="1" x14ac:dyDescent="0.35">
      <c r="A103" s="2" t="s">
        <v>373</v>
      </c>
      <c r="B103" s="3">
        <v>2002</v>
      </c>
      <c r="C103" s="3">
        <v>2018</v>
      </c>
      <c r="D103" s="3">
        <f>(C103-B103)</f>
        <v>16</v>
      </c>
      <c r="E103" s="4">
        <v>20</v>
      </c>
      <c r="F103" s="4">
        <v>127</v>
      </c>
      <c r="G103" s="5">
        <f t="shared" si="3"/>
        <v>107</v>
      </c>
      <c r="H103" s="6">
        <f t="shared" si="4"/>
        <v>535</v>
      </c>
      <c r="I103" s="6">
        <f t="shared" si="5"/>
        <v>33</v>
      </c>
    </row>
    <row r="104" spans="1:9" ht="14.25" customHeight="1" x14ac:dyDescent="0.35">
      <c r="A104" s="2" t="s">
        <v>323</v>
      </c>
      <c r="B104" s="3">
        <v>2007</v>
      </c>
      <c r="C104" s="3">
        <v>2018</v>
      </c>
      <c r="D104" s="3">
        <f>(C104-B104)</f>
        <v>11</v>
      </c>
      <c r="E104" s="4">
        <v>39</v>
      </c>
      <c r="F104" s="4">
        <v>273</v>
      </c>
      <c r="G104" s="5">
        <f t="shared" si="3"/>
        <v>234</v>
      </c>
      <c r="H104" s="6">
        <f t="shared" si="4"/>
        <v>600</v>
      </c>
      <c r="I104" s="6">
        <f t="shared" si="5"/>
        <v>54</v>
      </c>
    </row>
    <row r="105" spans="1:9" ht="14.25" customHeight="1" x14ac:dyDescent="0.35">
      <c r="A105" s="2" t="s">
        <v>457</v>
      </c>
      <c r="B105" s="3">
        <v>2009</v>
      </c>
      <c r="C105" s="3">
        <v>2018</v>
      </c>
      <c r="D105" s="3">
        <f>(C105-B105)</f>
        <v>9</v>
      </c>
      <c r="E105" s="4">
        <v>158</v>
      </c>
      <c r="F105" s="4">
        <v>70</v>
      </c>
      <c r="G105" s="5">
        <f t="shared" si="3"/>
        <v>-88</v>
      </c>
      <c r="H105" s="6">
        <f t="shared" si="4"/>
        <v>-56</v>
      </c>
      <c r="I105" s="6">
        <f t="shared" si="5"/>
        <v>-7</v>
      </c>
    </row>
    <row r="106" spans="1:9" ht="14.25" customHeight="1" x14ac:dyDescent="0.35">
      <c r="A106" s="2" t="s">
        <v>110</v>
      </c>
      <c r="B106" s="3">
        <v>2002</v>
      </c>
      <c r="C106" s="3">
        <v>2018</v>
      </c>
      <c r="D106" s="3">
        <f>(C106-B106)</f>
        <v>16</v>
      </c>
      <c r="E106" s="4">
        <v>7</v>
      </c>
      <c r="F106" s="4">
        <v>145</v>
      </c>
      <c r="G106" s="5">
        <f t="shared" si="3"/>
        <v>138</v>
      </c>
      <c r="H106" s="6">
        <f t="shared" si="4"/>
        <v>1971</v>
      </c>
      <c r="I106" s="6">
        <f t="shared" si="5"/>
        <v>123</v>
      </c>
    </row>
    <row r="107" spans="1:9" ht="14.25" customHeight="1" x14ac:dyDescent="0.35">
      <c r="A107" s="2" t="s">
        <v>21</v>
      </c>
      <c r="B107" s="3">
        <v>2007</v>
      </c>
      <c r="C107" s="3">
        <v>2018</v>
      </c>
      <c r="D107" s="3">
        <f>(C107-B107)</f>
        <v>11</v>
      </c>
      <c r="E107" s="4">
        <v>109</v>
      </c>
      <c r="F107" s="4">
        <v>39</v>
      </c>
      <c r="G107" s="5">
        <f t="shared" si="3"/>
        <v>-70</v>
      </c>
      <c r="H107" s="6">
        <f t="shared" si="4"/>
        <v>-65</v>
      </c>
      <c r="I107" s="6">
        <f t="shared" si="5"/>
        <v>-6</v>
      </c>
    </row>
    <row r="108" spans="1:9" ht="14.25" customHeight="1" x14ac:dyDescent="0.35">
      <c r="A108" s="2" t="s">
        <v>83</v>
      </c>
      <c r="B108" s="3">
        <v>2002</v>
      </c>
      <c r="C108" s="3">
        <v>2018</v>
      </c>
      <c r="D108" s="3">
        <f>(C108-B108)</f>
        <v>16</v>
      </c>
      <c r="E108" s="4">
        <v>45</v>
      </c>
      <c r="F108" s="4">
        <v>1694</v>
      </c>
      <c r="G108" s="5">
        <f t="shared" si="3"/>
        <v>1649</v>
      </c>
      <c r="H108" s="6">
        <f t="shared" si="4"/>
        <v>3664</v>
      </c>
      <c r="I108" s="6">
        <f t="shared" si="5"/>
        <v>229</v>
      </c>
    </row>
    <row r="109" spans="1:9" ht="14.25" customHeight="1" x14ac:dyDescent="0.35">
      <c r="A109" s="2" t="s">
        <v>492</v>
      </c>
      <c r="B109" s="3">
        <v>2017</v>
      </c>
      <c r="C109" s="3">
        <v>2018</v>
      </c>
      <c r="D109" s="3">
        <f>(C109-B109)</f>
        <v>1</v>
      </c>
      <c r="E109" s="4">
        <v>2659</v>
      </c>
      <c r="F109" s="4">
        <v>2375</v>
      </c>
      <c r="G109" s="5">
        <f t="shared" si="3"/>
        <v>-284</v>
      </c>
      <c r="H109" s="6">
        <f t="shared" si="4"/>
        <v>-11</v>
      </c>
      <c r="I109" s="6">
        <f t="shared" si="5"/>
        <v>-11</v>
      </c>
    </row>
    <row r="110" spans="1:9" ht="14.25" customHeight="1" x14ac:dyDescent="0.35">
      <c r="A110" s="2" t="s">
        <v>150</v>
      </c>
      <c r="B110" s="3">
        <v>2007</v>
      </c>
      <c r="C110" s="3">
        <v>2018</v>
      </c>
      <c r="D110" s="3">
        <f>(C110-B110)</f>
        <v>11</v>
      </c>
      <c r="E110" s="4">
        <v>573</v>
      </c>
      <c r="F110" s="4">
        <v>199</v>
      </c>
      <c r="G110" s="5">
        <f t="shared" si="3"/>
        <v>-374</v>
      </c>
      <c r="H110" s="6">
        <f t="shared" si="4"/>
        <v>-66</v>
      </c>
      <c r="I110" s="6">
        <f t="shared" si="5"/>
        <v>-6</v>
      </c>
    </row>
    <row r="111" spans="1:9" ht="14.25" customHeight="1" x14ac:dyDescent="0.35">
      <c r="A111" s="2" t="s">
        <v>142</v>
      </c>
      <c r="B111" s="3">
        <v>2017</v>
      </c>
      <c r="C111" s="3">
        <v>2018</v>
      </c>
      <c r="D111" s="3">
        <f>(C111-B111)</f>
        <v>1</v>
      </c>
      <c r="E111" s="4">
        <v>617</v>
      </c>
      <c r="F111" s="4">
        <v>1500</v>
      </c>
      <c r="G111" s="5">
        <f t="shared" si="3"/>
        <v>883</v>
      </c>
      <c r="H111" s="6">
        <f t="shared" si="4"/>
        <v>143</v>
      </c>
      <c r="I111" s="6">
        <f t="shared" si="5"/>
        <v>143</v>
      </c>
    </row>
    <row r="112" spans="1:9" ht="14.25" customHeight="1" x14ac:dyDescent="0.35">
      <c r="A112" s="2" t="s">
        <v>454</v>
      </c>
      <c r="B112" s="3">
        <v>2004</v>
      </c>
      <c r="C112" s="3">
        <v>2018</v>
      </c>
      <c r="D112" s="3">
        <f>(C112-B112)</f>
        <v>14</v>
      </c>
      <c r="E112" s="4">
        <v>530</v>
      </c>
      <c r="F112" s="4">
        <v>425</v>
      </c>
      <c r="G112" s="5">
        <f t="shared" si="3"/>
        <v>-105</v>
      </c>
      <c r="H112" s="6">
        <f t="shared" si="4"/>
        <v>-20</v>
      </c>
      <c r="I112" s="6">
        <f t="shared" si="5"/>
        <v>-2</v>
      </c>
    </row>
    <row r="113" spans="1:9" ht="14.25" customHeight="1" x14ac:dyDescent="0.35">
      <c r="A113" s="2" t="s">
        <v>34</v>
      </c>
      <c r="B113" s="3">
        <v>2002</v>
      </c>
      <c r="C113" s="3">
        <v>2018</v>
      </c>
      <c r="D113" s="3">
        <f>(C113-B113)</f>
        <v>16</v>
      </c>
      <c r="E113" s="4">
        <v>495</v>
      </c>
      <c r="F113" s="4">
        <v>2792</v>
      </c>
      <c r="G113" s="5">
        <f t="shared" si="3"/>
        <v>2297</v>
      </c>
      <c r="H113" s="6">
        <f t="shared" si="4"/>
        <v>464</v>
      </c>
      <c r="I113" s="6">
        <f t="shared" si="5"/>
        <v>29</v>
      </c>
    </row>
    <row r="114" spans="1:9" ht="14.25" customHeight="1" x14ac:dyDescent="0.35">
      <c r="A114" s="2" t="s">
        <v>268</v>
      </c>
      <c r="B114" s="3">
        <v>2008</v>
      </c>
      <c r="C114" s="3">
        <v>2018</v>
      </c>
      <c r="D114" s="3">
        <f>(C114-B114)</f>
        <v>10</v>
      </c>
      <c r="E114" s="4">
        <v>208</v>
      </c>
      <c r="F114" s="4">
        <v>1146</v>
      </c>
      <c r="G114" s="5">
        <f t="shared" si="3"/>
        <v>938</v>
      </c>
      <c r="H114" s="6">
        <f t="shared" si="4"/>
        <v>450</v>
      </c>
      <c r="I114" s="6">
        <f t="shared" si="5"/>
        <v>45</v>
      </c>
    </row>
    <row r="115" spans="1:9" ht="14.25" customHeight="1" x14ac:dyDescent="0.35">
      <c r="A115" s="2" t="s">
        <v>391</v>
      </c>
      <c r="B115" s="3">
        <v>2007</v>
      </c>
      <c r="C115" s="3">
        <v>2018</v>
      </c>
      <c r="D115" s="3">
        <f>(C115-B115)</f>
        <v>11</v>
      </c>
      <c r="E115" s="4">
        <v>147</v>
      </c>
      <c r="F115" s="4">
        <v>194</v>
      </c>
      <c r="G115" s="5">
        <f t="shared" si="3"/>
        <v>47</v>
      </c>
      <c r="H115" s="6">
        <f t="shared" si="4"/>
        <v>31</v>
      </c>
      <c r="I115" s="6">
        <f t="shared" si="5"/>
        <v>2</v>
      </c>
    </row>
    <row r="116" spans="1:9" ht="14.25" customHeight="1" x14ac:dyDescent="0.35">
      <c r="A116" s="2" t="s">
        <v>37</v>
      </c>
      <c r="B116" s="3">
        <v>2002</v>
      </c>
      <c r="C116" s="3">
        <v>2018</v>
      </c>
      <c r="D116" s="3">
        <f>(C116-B116)</f>
        <v>16</v>
      </c>
      <c r="E116" s="4">
        <v>94</v>
      </c>
      <c r="F116" s="4">
        <v>20600</v>
      </c>
      <c r="G116" s="5">
        <f t="shared" si="3"/>
        <v>20506</v>
      </c>
      <c r="H116" s="6">
        <f t="shared" si="4"/>
        <v>21814</v>
      </c>
      <c r="I116" s="6">
        <f t="shared" si="5"/>
        <v>1363</v>
      </c>
    </row>
    <row r="117" spans="1:9" ht="14.25" customHeight="1" x14ac:dyDescent="0.35">
      <c r="A117" s="2" t="s">
        <v>238</v>
      </c>
      <c r="B117" s="3">
        <v>2002</v>
      </c>
      <c r="C117" s="3">
        <v>2018</v>
      </c>
      <c r="D117" s="3">
        <f>(C117-B117)</f>
        <v>16</v>
      </c>
      <c r="E117" s="4">
        <v>10</v>
      </c>
      <c r="F117" s="4">
        <v>206</v>
      </c>
      <c r="G117" s="5">
        <f t="shared" si="3"/>
        <v>196</v>
      </c>
      <c r="H117" s="6">
        <f t="shared" si="4"/>
        <v>1960</v>
      </c>
      <c r="I117" s="6">
        <f t="shared" si="5"/>
        <v>122</v>
      </c>
    </row>
    <row r="118" spans="1:9" ht="14.25" customHeight="1" x14ac:dyDescent="0.35">
      <c r="A118" s="2" t="s">
        <v>344</v>
      </c>
      <c r="B118" s="3">
        <v>2002</v>
      </c>
      <c r="C118" s="3">
        <v>2018</v>
      </c>
      <c r="D118" s="3">
        <f>(C118-B118)</f>
        <v>16</v>
      </c>
      <c r="E118" s="4">
        <v>28</v>
      </c>
      <c r="F118" s="4">
        <v>206</v>
      </c>
      <c r="G118" s="5">
        <f t="shared" si="3"/>
        <v>178</v>
      </c>
      <c r="H118" s="6">
        <f t="shared" si="4"/>
        <v>635</v>
      </c>
      <c r="I118" s="6">
        <f t="shared" si="5"/>
        <v>39</v>
      </c>
    </row>
    <row r="119" spans="1:9" ht="14.25" customHeight="1" x14ac:dyDescent="0.35">
      <c r="A119" s="2" t="s">
        <v>237</v>
      </c>
      <c r="B119" s="3">
        <v>2002</v>
      </c>
      <c r="C119" s="3">
        <v>2018</v>
      </c>
      <c r="D119" s="3">
        <f>(C119-B119)</f>
        <v>16</v>
      </c>
      <c r="E119" s="4">
        <v>11</v>
      </c>
      <c r="F119" s="4">
        <v>252</v>
      </c>
      <c r="G119" s="5">
        <f t="shared" si="3"/>
        <v>241</v>
      </c>
      <c r="H119" s="6">
        <f t="shared" si="4"/>
        <v>2190</v>
      </c>
      <c r="I119" s="6">
        <f t="shared" si="5"/>
        <v>136</v>
      </c>
    </row>
    <row r="120" spans="1:9" ht="14.25" customHeight="1" x14ac:dyDescent="0.35">
      <c r="A120" s="2" t="s">
        <v>76</v>
      </c>
      <c r="B120" s="3">
        <v>2006</v>
      </c>
      <c r="C120" s="3">
        <v>2018</v>
      </c>
      <c r="D120" s="3">
        <f>(C120-B120)</f>
        <v>12</v>
      </c>
      <c r="E120" s="4">
        <v>43</v>
      </c>
      <c r="F120" s="4">
        <v>408</v>
      </c>
      <c r="G120" s="5">
        <f t="shared" si="3"/>
        <v>365</v>
      </c>
      <c r="H120" s="6">
        <f t="shared" si="4"/>
        <v>848</v>
      </c>
      <c r="I120" s="6">
        <f t="shared" si="5"/>
        <v>70</v>
      </c>
    </row>
    <row r="121" spans="1:9" ht="14.25" customHeight="1" x14ac:dyDescent="0.35">
      <c r="A121" s="2" t="s">
        <v>249</v>
      </c>
      <c r="B121" s="3">
        <v>2016</v>
      </c>
      <c r="C121" s="3">
        <v>2018</v>
      </c>
      <c r="D121" s="3">
        <f>(C121-B121)</f>
        <v>2</v>
      </c>
      <c r="E121" s="4">
        <v>626</v>
      </c>
      <c r="F121" s="4">
        <v>1175</v>
      </c>
      <c r="G121" s="5">
        <f t="shared" si="3"/>
        <v>549</v>
      </c>
      <c r="H121" s="6">
        <f t="shared" si="4"/>
        <v>87</v>
      </c>
      <c r="I121" s="6">
        <f t="shared" si="5"/>
        <v>43</v>
      </c>
    </row>
    <row r="122" spans="1:9" ht="14.25" customHeight="1" x14ac:dyDescent="0.35">
      <c r="A122" s="2" t="s">
        <v>77</v>
      </c>
      <c r="B122" s="3">
        <v>2002</v>
      </c>
      <c r="C122" s="3">
        <v>2018</v>
      </c>
      <c r="D122" s="3">
        <f>(C122-B122)</f>
        <v>16</v>
      </c>
      <c r="E122" s="4">
        <v>39</v>
      </c>
      <c r="F122" s="4">
        <v>120</v>
      </c>
      <c r="G122" s="5">
        <f t="shared" si="3"/>
        <v>81</v>
      </c>
      <c r="H122" s="6">
        <f t="shared" si="4"/>
        <v>207</v>
      </c>
      <c r="I122" s="6">
        <f t="shared" si="5"/>
        <v>12</v>
      </c>
    </row>
    <row r="123" spans="1:9" ht="14.25" customHeight="1" x14ac:dyDescent="0.35">
      <c r="A123" s="2" t="s">
        <v>422</v>
      </c>
      <c r="B123" s="3">
        <v>2016</v>
      </c>
      <c r="C123" s="3">
        <v>2018</v>
      </c>
      <c r="D123" s="3">
        <f>(C123-B123)</f>
        <v>2</v>
      </c>
      <c r="E123" s="4">
        <v>138</v>
      </c>
      <c r="F123" s="4">
        <v>138</v>
      </c>
      <c r="G123" s="5">
        <f t="shared" si="3"/>
        <v>0</v>
      </c>
      <c r="H123" s="6">
        <f t="shared" si="4"/>
        <v>0</v>
      </c>
      <c r="I123" s="6">
        <f t="shared" si="5"/>
        <v>0</v>
      </c>
    </row>
    <row r="124" spans="1:9" ht="14.25" customHeight="1" x14ac:dyDescent="0.35">
      <c r="A124" s="2" t="s">
        <v>303</v>
      </c>
      <c r="B124" s="3">
        <v>2017</v>
      </c>
      <c r="C124" s="3">
        <v>2018</v>
      </c>
      <c r="D124" s="3">
        <f>(C124-B124)</f>
        <v>1</v>
      </c>
      <c r="E124" s="4">
        <v>601</v>
      </c>
      <c r="F124" s="4">
        <v>633</v>
      </c>
      <c r="G124" s="5">
        <f t="shared" si="3"/>
        <v>32</v>
      </c>
      <c r="H124" s="6">
        <f t="shared" si="4"/>
        <v>5</v>
      </c>
      <c r="I124" s="6">
        <f t="shared" si="5"/>
        <v>5</v>
      </c>
    </row>
    <row r="125" spans="1:9" ht="14.25" customHeight="1" x14ac:dyDescent="0.35">
      <c r="A125" s="2" t="s">
        <v>461</v>
      </c>
      <c r="B125" s="3">
        <v>2010</v>
      </c>
      <c r="C125" s="3">
        <v>2018</v>
      </c>
      <c r="D125" s="3">
        <f>(C125-B125)</f>
        <v>8</v>
      </c>
      <c r="E125" s="4">
        <v>188</v>
      </c>
      <c r="F125" s="4">
        <v>80</v>
      </c>
      <c r="G125" s="5">
        <f t="shared" si="3"/>
        <v>-108</v>
      </c>
      <c r="H125" s="6">
        <f t="shared" si="4"/>
        <v>-58</v>
      </c>
      <c r="I125" s="6">
        <f t="shared" si="5"/>
        <v>-8</v>
      </c>
    </row>
    <row r="126" spans="1:9" ht="14.25" customHeight="1" x14ac:dyDescent="0.35">
      <c r="A126" s="2" t="s">
        <v>291</v>
      </c>
      <c r="B126" s="3">
        <v>2002</v>
      </c>
      <c r="C126" s="3">
        <v>2018</v>
      </c>
      <c r="D126" s="3">
        <f>(C126-B126)</f>
        <v>16</v>
      </c>
      <c r="E126" s="4">
        <v>67</v>
      </c>
      <c r="F126" s="4">
        <v>774</v>
      </c>
      <c r="G126" s="5">
        <f t="shared" si="3"/>
        <v>707</v>
      </c>
      <c r="H126" s="6">
        <f t="shared" si="4"/>
        <v>1055</v>
      </c>
      <c r="I126" s="6">
        <f t="shared" si="5"/>
        <v>65</v>
      </c>
    </row>
    <row r="127" spans="1:9" ht="14.25" customHeight="1" x14ac:dyDescent="0.35">
      <c r="A127" s="2" t="s">
        <v>352</v>
      </c>
      <c r="B127" s="3">
        <v>2002</v>
      </c>
      <c r="C127" s="3">
        <v>2018</v>
      </c>
      <c r="D127" s="3">
        <f>(C127-B127)</f>
        <v>16</v>
      </c>
      <c r="E127" s="4">
        <v>22</v>
      </c>
      <c r="F127" s="4">
        <v>192</v>
      </c>
      <c r="G127" s="5">
        <f t="shared" si="3"/>
        <v>170</v>
      </c>
      <c r="H127" s="6">
        <f t="shared" si="4"/>
        <v>772</v>
      </c>
      <c r="I127" s="6">
        <f t="shared" si="5"/>
        <v>48</v>
      </c>
    </row>
    <row r="128" spans="1:9" ht="14.25" customHeight="1" x14ac:dyDescent="0.35">
      <c r="A128" s="2" t="s">
        <v>190</v>
      </c>
      <c r="B128" s="3">
        <v>2004</v>
      </c>
      <c r="C128" s="3">
        <v>2018</v>
      </c>
      <c r="D128" s="3">
        <f>(C128-B128)</f>
        <v>14</v>
      </c>
      <c r="E128" s="4">
        <v>83</v>
      </c>
      <c r="F128" s="4">
        <v>3730</v>
      </c>
      <c r="G128" s="5">
        <f t="shared" si="3"/>
        <v>3647</v>
      </c>
      <c r="H128" s="6">
        <f t="shared" si="4"/>
        <v>4393</v>
      </c>
      <c r="I128" s="6">
        <f t="shared" si="5"/>
        <v>313</v>
      </c>
    </row>
    <row r="129" spans="1:9" ht="14.25" customHeight="1" x14ac:dyDescent="0.35">
      <c r="A129" s="2" t="s">
        <v>86</v>
      </c>
      <c r="B129" s="3">
        <v>2002</v>
      </c>
      <c r="C129" s="3">
        <v>2018</v>
      </c>
      <c r="D129" s="3">
        <f>(C129-B129)</f>
        <v>16</v>
      </c>
      <c r="E129" s="4">
        <v>4</v>
      </c>
      <c r="F129" s="4">
        <v>215</v>
      </c>
      <c r="G129" s="5">
        <f t="shared" si="3"/>
        <v>211</v>
      </c>
      <c r="H129" s="6">
        <f t="shared" si="4"/>
        <v>5275</v>
      </c>
      <c r="I129" s="6">
        <f t="shared" si="5"/>
        <v>329</v>
      </c>
    </row>
    <row r="130" spans="1:9" ht="14.25" customHeight="1" x14ac:dyDescent="0.35">
      <c r="A130" s="2" t="s">
        <v>241</v>
      </c>
      <c r="B130" s="3">
        <v>2013</v>
      </c>
      <c r="C130" s="3">
        <v>2018</v>
      </c>
      <c r="D130" s="3">
        <f>(C130-B130)</f>
        <v>5</v>
      </c>
      <c r="E130" s="4">
        <v>7</v>
      </c>
      <c r="F130" s="4">
        <v>44</v>
      </c>
      <c r="G130" s="5">
        <f t="shared" si="3"/>
        <v>37</v>
      </c>
      <c r="H130" s="6">
        <f t="shared" si="4"/>
        <v>528</v>
      </c>
      <c r="I130" s="6">
        <f t="shared" si="5"/>
        <v>105</v>
      </c>
    </row>
    <row r="131" spans="1:9" ht="14.25" customHeight="1" x14ac:dyDescent="0.35">
      <c r="A131" s="2" t="s">
        <v>363</v>
      </c>
      <c r="B131" s="3">
        <v>2000</v>
      </c>
      <c r="C131" s="3">
        <v>2018</v>
      </c>
      <c r="D131" s="3">
        <f>(C131-B131)</f>
        <v>18</v>
      </c>
      <c r="E131" s="4">
        <v>19</v>
      </c>
      <c r="F131" s="4">
        <v>169</v>
      </c>
      <c r="G131" s="5">
        <f t="shared" ref="G131:G194" si="6">INT((F131-E131))</f>
        <v>150</v>
      </c>
      <c r="H131" s="6">
        <f t="shared" ref="H131:H194" si="7">INT(G131*100/E131)</f>
        <v>789</v>
      </c>
      <c r="I131" s="6">
        <f t="shared" ref="I131:I194" si="8">INT(H131/D131)</f>
        <v>43</v>
      </c>
    </row>
    <row r="132" spans="1:9" ht="14.25" customHeight="1" x14ac:dyDescent="0.35">
      <c r="A132" s="2" t="s">
        <v>68</v>
      </c>
      <c r="B132" s="3">
        <v>2002</v>
      </c>
      <c r="C132" s="3">
        <v>2018</v>
      </c>
      <c r="D132" s="3">
        <f>(C132-B132)</f>
        <v>16</v>
      </c>
      <c r="E132" s="4">
        <v>3</v>
      </c>
      <c r="F132" s="4">
        <v>97</v>
      </c>
      <c r="G132" s="5">
        <f t="shared" si="6"/>
        <v>94</v>
      </c>
      <c r="H132" s="6">
        <f t="shared" si="7"/>
        <v>3133</v>
      </c>
      <c r="I132" s="6">
        <f t="shared" si="8"/>
        <v>195</v>
      </c>
    </row>
    <row r="133" spans="1:9" ht="14.25" customHeight="1" x14ac:dyDescent="0.35">
      <c r="A133" s="2" t="s">
        <v>313</v>
      </c>
      <c r="B133" s="3">
        <v>2002</v>
      </c>
      <c r="C133" s="3">
        <v>2018</v>
      </c>
      <c r="D133" s="3">
        <f>(C133-B133)</f>
        <v>16</v>
      </c>
      <c r="E133" s="4">
        <v>32</v>
      </c>
      <c r="F133" s="4">
        <v>467</v>
      </c>
      <c r="G133" s="5">
        <f t="shared" si="6"/>
        <v>435</v>
      </c>
      <c r="H133" s="6">
        <f t="shared" si="7"/>
        <v>1359</v>
      </c>
      <c r="I133" s="6">
        <f t="shared" si="8"/>
        <v>84</v>
      </c>
    </row>
    <row r="134" spans="1:9" ht="14.25" customHeight="1" x14ac:dyDescent="0.35">
      <c r="A134" s="2" t="s">
        <v>309</v>
      </c>
      <c r="B134" s="3">
        <v>2002</v>
      </c>
      <c r="C134" s="3">
        <v>2018</v>
      </c>
      <c r="D134" s="3">
        <f>(C134-B134)</f>
        <v>16</v>
      </c>
      <c r="E134" s="4">
        <v>34</v>
      </c>
      <c r="F134" s="4">
        <v>493</v>
      </c>
      <c r="G134" s="5">
        <f t="shared" si="6"/>
        <v>459</v>
      </c>
      <c r="H134" s="6">
        <f t="shared" si="7"/>
        <v>1350</v>
      </c>
      <c r="I134" s="6">
        <f t="shared" si="8"/>
        <v>84</v>
      </c>
    </row>
    <row r="135" spans="1:9" ht="14.25" customHeight="1" x14ac:dyDescent="0.35">
      <c r="A135" s="2" t="s">
        <v>276</v>
      </c>
      <c r="B135" s="3">
        <v>2013</v>
      </c>
      <c r="C135" s="3">
        <v>2018</v>
      </c>
      <c r="D135" s="3">
        <f>(C135-B135)</f>
        <v>5</v>
      </c>
      <c r="E135" s="4">
        <v>120</v>
      </c>
      <c r="F135" s="4">
        <v>470</v>
      </c>
      <c r="G135" s="5">
        <f t="shared" si="6"/>
        <v>350</v>
      </c>
      <c r="H135" s="6">
        <f t="shared" si="7"/>
        <v>291</v>
      </c>
      <c r="I135" s="6">
        <f t="shared" si="8"/>
        <v>58</v>
      </c>
    </row>
    <row r="136" spans="1:9" ht="14.25" customHeight="1" x14ac:dyDescent="0.35">
      <c r="A136" s="2" t="s">
        <v>392</v>
      </c>
      <c r="B136" s="3">
        <v>2007</v>
      </c>
      <c r="C136" s="3">
        <v>2018</v>
      </c>
      <c r="D136" s="3">
        <f>(C136-B136)</f>
        <v>11</v>
      </c>
      <c r="E136" s="4">
        <v>88</v>
      </c>
      <c r="F136" s="4">
        <v>137</v>
      </c>
      <c r="G136" s="5">
        <f t="shared" si="6"/>
        <v>49</v>
      </c>
      <c r="H136" s="6">
        <f t="shared" si="7"/>
        <v>55</v>
      </c>
      <c r="I136" s="6">
        <f t="shared" si="8"/>
        <v>5</v>
      </c>
    </row>
    <row r="137" spans="1:9" ht="14.25" customHeight="1" x14ac:dyDescent="0.35">
      <c r="A137" s="2" t="s">
        <v>257</v>
      </c>
      <c r="B137" s="3">
        <v>2016</v>
      </c>
      <c r="C137" s="3">
        <v>2018</v>
      </c>
      <c r="D137" s="3">
        <f>(C137-B137)</f>
        <v>2</v>
      </c>
      <c r="E137" s="4">
        <v>157</v>
      </c>
      <c r="F137" s="4">
        <v>465</v>
      </c>
      <c r="G137" s="5">
        <f t="shared" si="6"/>
        <v>308</v>
      </c>
      <c r="H137" s="6">
        <f t="shared" si="7"/>
        <v>196</v>
      </c>
      <c r="I137" s="6">
        <f t="shared" si="8"/>
        <v>98</v>
      </c>
    </row>
    <row r="138" spans="1:9" ht="14.25" customHeight="1" x14ac:dyDescent="0.35">
      <c r="A138" s="2" t="s">
        <v>443</v>
      </c>
      <c r="B138" s="3">
        <v>2007</v>
      </c>
      <c r="C138" s="3">
        <v>2018</v>
      </c>
      <c r="D138" s="3">
        <f>(C138-B138)</f>
        <v>11</v>
      </c>
      <c r="E138" s="4">
        <v>80</v>
      </c>
      <c r="F138" s="4">
        <v>49</v>
      </c>
      <c r="G138" s="5">
        <f t="shared" si="6"/>
        <v>-31</v>
      </c>
      <c r="H138" s="6">
        <f t="shared" si="7"/>
        <v>-39</v>
      </c>
      <c r="I138" s="6">
        <f t="shared" si="8"/>
        <v>-4</v>
      </c>
    </row>
    <row r="139" spans="1:9" ht="14.25" customHeight="1" x14ac:dyDescent="0.35">
      <c r="A139" s="2" t="s">
        <v>39</v>
      </c>
      <c r="B139" s="3">
        <v>2002</v>
      </c>
      <c r="C139" s="3">
        <v>2018</v>
      </c>
      <c r="D139" s="3">
        <f>(C139-B139)</f>
        <v>16</v>
      </c>
      <c r="E139" s="4">
        <v>28</v>
      </c>
      <c r="F139" s="4">
        <v>362</v>
      </c>
      <c r="G139" s="5">
        <f t="shared" si="6"/>
        <v>334</v>
      </c>
      <c r="H139" s="6">
        <f t="shared" si="7"/>
        <v>1192</v>
      </c>
      <c r="I139" s="6">
        <f t="shared" si="8"/>
        <v>74</v>
      </c>
    </row>
    <row r="140" spans="1:9" ht="14.25" customHeight="1" x14ac:dyDescent="0.35">
      <c r="A140" s="2" t="s">
        <v>324</v>
      </c>
      <c r="B140" s="3">
        <v>2011</v>
      </c>
      <c r="C140" s="3">
        <v>2018</v>
      </c>
      <c r="D140" s="3">
        <f>(C140-B140)</f>
        <v>7</v>
      </c>
      <c r="E140" s="4">
        <v>25</v>
      </c>
      <c r="F140" s="4">
        <v>166</v>
      </c>
      <c r="G140" s="5">
        <f t="shared" si="6"/>
        <v>141</v>
      </c>
      <c r="H140" s="6">
        <f t="shared" si="7"/>
        <v>564</v>
      </c>
      <c r="I140" s="6">
        <f t="shared" si="8"/>
        <v>80</v>
      </c>
    </row>
    <row r="141" spans="1:9" ht="14.25" customHeight="1" x14ac:dyDescent="0.35">
      <c r="A141" s="2" t="s">
        <v>416</v>
      </c>
      <c r="B141" s="3">
        <v>2005</v>
      </c>
      <c r="C141" s="3">
        <v>2018</v>
      </c>
      <c r="D141" s="3">
        <f>(C141-B141)</f>
        <v>13</v>
      </c>
      <c r="E141" s="4">
        <v>118</v>
      </c>
      <c r="F141" s="4">
        <v>135</v>
      </c>
      <c r="G141" s="5">
        <f t="shared" si="6"/>
        <v>17</v>
      </c>
      <c r="H141" s="6">
        <f t="shared" si="7"/>
        <v>14</v>
      </c>
      <c r="I141" s="6">
        <f t="shared" si="8"/>
        <v>1</v>
      </c>
    </row>
    <row r="142" spans="1:9" ht="14.25" customHeight="1" x14ac:dyDescent="0.35">
      <c r="A142" s="2" t="s">
        <v>287</v>
      </c>
      <c r="B142" s="3">
        <v>2002</v>
      </c>
      <c r="C142" s="3">
        <v>2018</v>
      </c>
      <c r="D142" s="3">
        <f>(C142-B142)</f>
        <v>16</v>
      </c>
      <c r="E142" s="4">
        <v>69</v>
      </c>
      <c r="F142" s="4">
        <v>832</v>
      </c>
      <c r="G142" s="5">
        <f t="shared" si="6"/>
        <v>763</v>
      </c>
      <c r="H142" s="6">
        <f t="shared" si="7"/>
        <v>1105</v>
      </c>
      <c r="I142" s="6">
        <f t="shared" si="8"/>
        <v>69</v>
      </c>
    </row>
    <row r="143" spans="1:9" ht="14.25" customHeight="1" x14ac:dyDescent="0.35">
      <c r="A143" s="2" t="s">
        <v>334</v>
      </c>
      <c r="B143" s="3">
        <v>2002</v>
      </c>
      <c r="C143" s="3">
        <v>2018</v>
      </c>
      <c r="D143" s="3">
        <f>(C143-B143)</f>
        <v>16</v>
      </c>
      <c r="E143" s="4">
        <v>38</v>
      </c>
      <c r="F143" s="4">
        <v>291</v>
      </c>
      <c r="G143" s="5">
        <f t="shared" si="6"/>
        <v>253</v>
      </c>
      <c r="H143" s="6">
        <f t="shared" si="7"/>
        <v>665</v>
      </c>
      <c r="I143" s="6">
        <f t="shared" si="8"/>
        <v>41</v>
      </c>
    </row>
    <row r="144" spans="1:9" ht="14.25" customHeight="1" x14ac:dyDescent="0.35">
      <c r="A144" s="2" t="s">
        <v>432</v>
      </c>
      <c r="B144" s="3">
        <v>2008</v>
      </c>
      <c r="C144" s="3">
        <v>2018</v>
      </c>
      <c r="D144" s="3">
        <f>(C144-B144)</f>
        <v>10</v>
      </c>
      <c r="E144" s="4">
        <v>294</v>
      </c>
      <c r="F144" s="4">
        <v>288</v>
      </c>
      <c r="G144" s="5">
        <f t="shared" si="6"/>
        <v>-6</v>
      </c>
      <c r="H144" s="6">
        <f t="shared" si="7"/>
        <v>-3</v>
      </c>
      <c r="I144" s="6">
        <f t="shared" si="8"/>
        <v>-1</v>
      </c>
    </row>
    <row r="145" spans="1:9" ht="14.25" customHeight="1" x14ac:dyDescent="0.35">
      <c r="A145" s="2" t="s">
        <v>336</v>
      </c>
      <c r="B145" s="3">
        <v>2002</v>
      </c>
      <c r="C145" s="3">
        <v>2018</v>
      </c>
      <c r="D145" s="3">
        <f>(C145-B145)</f>
        <v>16</v>
      </c>
      <c r="E145" s="4">
        <v>19</v>
      </c>
      <c r="F145" s="4">
        <v>243</v>
      </c>
      <c r="G145" s="5">
        <f t="shared" si="6"/>
        <v>224</v>
      </c>
      <c r="H145" s="6">
        <f t="shared" si="7"/>
        <v>1178</v>
      </c>
      <c r="I145" s="6">
        <f t="shared" si="8"/>
        <v>73</v>
      </c>
    </row>
    <row r="146" spans="1:9" ht="14.25" customHeight="1" x14ac:dyDescent="0.35">
      <c r="A146" s="2" t="s">
        <v>103</v>
      </c>
      <c r="B146" s="3">
        <v>2017</v>
      </c>
      <c r="C146" s="3">
        <v>2018</v>
      </c>
      <c r="D146" s="3">
        <f>(C146-B146)</f>
        <v>1</v>
      </c>
      <c r="E146" s="4">
        <v>411</v>
      </c>
      <c r="F146" s="4">
        <v>255</v>
      </c>
      <c r="G146" s="5">
        <f t="shared" si="6"/>
        <v>-156</v>
      </c>
      <c r="H146" s="6">
        <f t="shared" si="7"/>
        <v>-38</v>
      </c>
      <c r="I146" s="6">
        <f t="shared" si="8"/>
        <v>-38</v>
      </c>
    </row>
    <row r="147" spans="1:9" ht="14.25" customHeight="1" x14ac:dyDescent="0.35">
      <c r="A147" s="2" t="s">
        <v>221</v>
      </c>
      <c r="B147" s="3">
        <v>2002</v>
      </c>
      <c r="C147" s="3">
        <v>2018</v>
      </c>
      <c r="D147" s="3">
        <f>(C147-B147)</f>
        <v>16</v>
      </c>
      <c r="E147" s="4">
        <v>342</v>
      </c>
      <c r="F147" s="4">
        <v>6640</v>
      </c>
      <c r="G147" s="5">
        <f t="shared" si="6"/>
        <v>6298</v>
      </c>
      <c r="H147" s="6">
        <f t="shared" si="7"/>
        <v>1841</v>
      </c>
      <c r="I147" s="6">
        <f t="shared" si="8"/>
        <v>115</v>
      </c>
    </row>
    <row r="148" spans="1:9" ht="14.25" customHeight="1" x14ac:dyDescent="0.35">
      <c r="A148" s="2" t="s">
        <v>277</v>
      </c>
      <c r="B148" s="3">
        <v>2002</v>
      </c>
      <c r="C148" s="3">
        <v>2018</v>
      </c>
      <c r="D148" s="3">
        <f>(C148-B148)</f>
        <v>16</v>
      </c>
      <c r="E148" s="4">
        <v>182</v>
      </c>
      <c r="F148" s="4">
        <v>1299</v>
      </c>
      <c r="G148" s="5">
        <f t="shared" si="6"/>
        <v>1117</v>
      </c>
      <c r="H148" s="6">
        <f t="shared" si="7"/>
        <v>613</v>
      </c>
      <c r="I148" s="6">
        <f t="shared" si="8"/>
        <v>38</v>
      </c>
    </row>
    <row r="149" spans="1:9" ht="14.25" customHeight="1" x14ac:dyDescent="0.35">
      <c r="A149" s="2" t="s">
        <v>6</v>
      </c>
      <c r="B149" s="3">
        <v>2002</v>
      </c>
      <c r="C149" s="3">
        <v>2018</v>
      </c>
      <c r="D149" s="3">
        <f>(C149-B149)</f>
        <v>16</v>
      </c>
      <c r="E149" s="4">
        <v>14</v>
      </c>
      <c r="F149" s="4">
        <v>650</v>
      </c>
      <c r="G149" s="5">
        <f t="shared" si="6"/>
        <v>636</v>
      </c>
      <c r="H149" s="6">
        <f t="shared" si="7"/>
        <v>4542</v>
      </c>
      <c r="I149" s="6">
        <f t="shared" si="8"/>
        <v>283</v>
      </c>
    </row>
    <row r="150" spans="1:9" ht="14.25" customHeight="1" x14ac:dyDescent="0.35">
      <c r="A150" s="2" t="s">
        <v>393</v>
      </c>
      <c r="B150" s="3">
        <v>2002</v>
      </c>
      <c r="C150" s="3">
        <v>2018</v>
      </c>
      <c r="D150" s="3">
        <f>(C150-B150)</f>
        <v>16</v>
      </c>
      <c r="E150" s="4">
        <v>13</v>
      </c>
      <c r="F150" s="4">
        <v>82</v>
      </c>
      <c r="G150" s="5">
        <f t="shared" si="6"/>
        <v>69</v>
      </c>
      <c r="H150" s="6">
        <f t="shared" si="7"/>
        <v>530</v>
      </c>
      <c r="I150" s="6">
        <f t="shared" si="8"/>
        <v>33</v>
      </c>
    </row>
    <row r="151" spans="1:9" ht="14.25" customHeight="1" x14ac:dyDescent="0.35">
      <c r="A151" s="2" t="s">
        <v>140</v>
      </c>
      <c r="B151" s="3">
        <v>2006</v>
      </c>
      <c r="C151" s="3">
        <v>2018</v>
      </c>
      <c r="D151" s="3">
        <f>(C151-B151)</f>
        <v>12</v>
      </c>
      <c r="E151" s="4">
        <v>22</v>
      </c>
      <c r="F151" s="4">
        <v>19</v>
      </c>
      <c r="G151" s="5">
        <f t="shared" si="6"/>
        <v>-3</v>
      </c>
      <c r="H151" s="6">
        <f t="shared" si="7"/>
        <v>-14</v>
      </c>
      <c r="I151" s="6">
        <f t="shared" si="8"/>
        <v>-2</v>
      </c>
    </row>
    <row r="152" spans="1:9" ht="14.25" customHeight="1" x14ac:dyDescent="0.35">
      <c r="A152" s="2" t="s">
        <v>330</v>
      </c>
      <c r="B152" s="3">
        <v>2002</v>
      </c>
      <c r="C152" s="3">
        <v>2018</v>
      </c>
      <c r="D152" s="3">
        <f>(C152-B152)</f>
        <v>16</v>
      </c>
      <c r="E152" s="4">
        <v>36</v>
      </c>
      <c r="F152" s="4">
        <v>309</v>
      </c>
      <c r="G152" s="5">
        <f t="shared" si="6"/>
        <v>273</v>
      </c>
      <c r="H152" s="6">
        <f t="shared" si="7"/>
        <v>758</v>
      </c>
      <c r="I152" s="6">
        <f t="shared" si="8"/>
        <v>47</v>
      </c>
    </row>
    <row r="153" spans="1:9" ht="14.25" customHeight="1" x14ac:dyDescent="0.35">
      <c r="A153" s="2" t="s">
        <v>278</v>
      </c>
      <c r="B153" s="3">
        <v>2002</v>
      </c>
      <c r="C153" s="3">
        <v>2018</v>
      </c>
      <c r="D153" s="3">
        <f>(C153-B153)</f>
        <v>16</v>
      </c>
      <c r="E153" s="4">
        <v>78</v>
      </c>
      <c r="F153" s="4">
        <v>1129</v>
      </c>
      <c r="G153" s="5">
        <f t="shared" si="6"/>
        <v>1051</v>
      </c>
      <c r="H153" s="6">
        <f t="shared" si="7"/>
        <v>1347</v>
      </c>
      <c r="I153" s="6">
        <f t="shared" si="8"/>
        <v>84</v>
      </c>
    </row>
    <row r="154" spans="1:9" ht="14.25" customHeight="1" x14ac:dyDescent="0.35">
      <c r="A154" s="2" t="s">
        <v>480</v>
      </c>
      <c r="B154" s="3">
        <v>2017</v>
      </c>
      <c r="C154" s="3">
        <v>2018</v>
      </c>
      <c r="D154" s="3">
        <f>(C154-B154)</f>
        <v>1</v>
      </c>
      <c r="E154" s="4">
        <v>588</v>
      </c>
      <c r="F154" s="4">
        <v>531</v>
      </c>
      <c r="G154" s="5">
        <f t="shared" si="6"/>
        <v>-57</v>
      </c>
      <c r="H154" s="6">
        <f t="shared" si="7"/>
        <v>-10</v>
      </c>
      <c r="I154" s="6">
        <f t="shared" si="8"/>
        <v>-10</v>
      </c>
    </row>
    <row r="155" spans="1:9" ht="14.25" customHeight="1" x14ac:dyDescent="0.35">
      <c r="A155" s="2" t="s">
        <v>133</v>
      </c>
      <c r="B155" s="3">
        <v>2002</v>
      </c>
      <c r="C155" s="3">
        <v>2018</v>
      </c>
      <c r="D155" s="3">
        <f>(C155-B155)</f>
        <v>16</v>
      </c>
      <c r="E155" s="4">
        <v>7</v>
      </c>
      <c r="F155" s="4">
        <v>656</v>
      </c>
      <c r="G155" s="5">
        <f t="shared" si="6"/>
        <v>649</v>
      </c>
      <c r="H155" s="6">
        <f t="shared" si="7"/>
        <v>9271</v>
      </c>
      <c r="I155" s="6">
        <f t="shared" si="8"/>
        <v>579</v>
      </c>
    </row>
    <row r="156" spans="1:9" ht="14.25" customHeight="1" x14ac:dyDescent="0.35">
      <c r="A156" s="2" t="s">
        <v>95</v>
      </c>
      <c r="B156" s="3">
        <v>2002</v>
      </c>
      <c r="C156" s="3">
        <v>2018</v>
      </c>
      <c r="D156" s="3">
        <f>(C156-B156)</f>
        <v>16</v>
      </c>
      <c r="E156" s="4">
        <v>3</v>
      </c>
      <c r="F156" s="4">
        <v>538</v>
      </c>
      <c r="G156" s="5">
        <f t="shared" si="6"/>
        <v>535</v>
      </c>
      <c r="H156" s="6">
        <f t="shared" si="7"/>
        <v>17833</v>
      </c>
      <c r="I156" s="6">
        <f t="shared" si="8"/>
        <v>1114</v>
      </c>
    </row>
    <row r="157" spans="1:9" ht="14.25" customHeight="1" x14ac:dyDescent="0.35">
      <c r="A157" s="2" t="s">
        <v>273</v>
      </c>
      <c r="B157" s="3">
        <v>2010</v>
      </c>
      <c r="C157" s="3">
        <v>2018</v>
      </c>
      <c r="D157" s="3">
        <f>(C157-B157)</f>
        <v>8</v>
      </c>
      <c r="E157" s="4">
        <v>240</v>
      </c>
      <c r="F157" s="4">
        <v>893</v>
      </c>
      <c r="G157" s="5">
        <f t="shared" si="6"/>
        <v>653</v>
      </c>
      <c r="H157" s="6">
        <f t="shared" si="7"/>
        <v>272</v>
      </c>
      <c r="I157" s="6">
        <f t="shared" si="8"/>
        <v>34</v>
      </c>
    </row>
    <row r="158" spans="1:9" ht="14.25" customHeight="1" x14ac:dyDescent="0.35">
      <c r="A158" s="2" t="s">
        <v>382</v>
      </c>
      <c r="B158" s="3">
        <v>2010</v>
      </c>
      <c r="C158" s="3">
        <v>2018</v>
      </c>
      <c r="D158" s="3">
        <f>(C158-B158)</f>
        <v>8</v>
      </c>
      <c r="E158" s="4">
        <v>54</v>
      </c>
      <c r="F158" s="4">
        <v>98</v>
      </c>
      <c r="G158" s="5">
        <f t="shared" si="6"/>
        <v>44</v>
      </c>
      <c r="H158" s="6">
        <f t="shared" si="7"/>
        <v>81</v>
      </c>
      <c r="I158" s="6">
        <f t="shared" si="8"/>
        <v>10</v>
      </c>
    </row>
    <row r="159" spans="1:9" ht="14.25" customHeight="1" x14ac:dyDescent="0.35">
      <c r="A159" s="2" t="s">
        <v>368</v>
      </c>
      <c r="B159" s="3">
        <v>2005</v>
      </c>
      <c r="C159" s="3">
        <v>2018</v>
      </c>
      <c r="D159" s="3">
        <f>(C159-B159)</f>
        <v>13</v>
      </c>
      <c r="E159" s="4">
        <v>11</v>
      </c>
      <c r="F159" s="4">
        <v>113</v>
      </c>
      <c r="G159" s="5">
        <f t="shared" si="6"/>
        <v>102</v>
      </c>
      <c r="H159" s="6">
        <f t="shared" si="7"/>
        <v>927</v>
      </c>
      <c r="I159" s="6">
        <f t="shared" si="8"/>
        <v>71</v>
      </c>
    </row>
    <row r="160" spans="1:9" ht="14.25" customHeight="1" x14ac:dyDescent="0.35">
      <c r="A160" s="2" t="s">
        <v>186</v>
      </c>
      <c r="B160" s="3">
        <v>2002</v>
      </c>
      <c r="C160" s="3">
        <v>2018</v>
      </c>
      <c r="D160" s="3">
        <f>(C160-B160)</f>
        <v>16</v>
      </c>
      <c r="E160" s="4">
        <v>7</v>
      </c>
      <c r="F160" s="4">
        <v>460</v>
      </c>
      <c r="G160" s="5">
        <f t="shared" si="6"/>
        <v>453</v>
      </c>
      <c r="H160" s="6">
        <f t="shared" si="7"/>
        <v>6471</v>
      </c>
      <c r="I160" s="6">
        <f t="shared" si="8"/>
        <v>404</v>
      </c>
    </row>
    <row r="161" spans="1:9" ht="14.25" customHeight="1" x14ac:dyDescent="0.35">
      <c r="A161" s="2" t="s">
        <v>42</v>
      </c>
      <c r="B161" s="3">
        <v>2002</v>
      </c>
      <c r="C161" s="3">
        <v>2018</v>
      </c>
      <c r="D161" s="3">
        <f>(C161-B161)</f>
        <v>16</v>
      </c>
      <c r="E161" s="4">
        <v>48</v>
      </c>
      <c r="F161" s="4">
        <v>848</v>
      </c>
      <c r="G161" s="5">
        <f t="shared" si="6"/>
        <v>800</v>
      </c>
      <c r="H161" s="6">
        <f t="shared" si="7"/>
        <v>1666</v>
      </c>
      <c r="I161" s="6">
        <f t="shared" si="8"/>
        <v>104</v>
      </c>
    </row>
    <row r="162" spans="1:9" ht="14.25" customHeight="1" x14ac:dyDescent="0.35">
      <c r="A162" s="2" t="s">
        <v>359</v>
      </c>
      <c r="B162" s="3">
        <v>2004</v>
      </c>
      <c r="C162" s="3">
        <v>2018</v>
      </c>
      <c r="D162" s="3">
        <f>(C162-B162)</f>
        <v>14</v>
      </c>
      <c r="E162" s="4">
        <v>16</v>
      </c>
      <c r="F162" s="4">
        <v>146</v>
      </c>
      <c r="G162" s="5">
        <f t="shared" si="6"/>
        <v>130</v>
      </c>
      <c r="H162" s="6">
        <f t="shared" si="7"/>
        <v>812</v>
      </c>
      <c r="I162" s="6">
        <f t="shared" si="8"/>
        <v>58</v>
      </c>
    </row>
    <row r="163" spans="1:9" ht="14.25" customHeight="1" x14ac:dyDescent="0.35">
      <c r="A163" s="2" t="s">
        <v>161</v>
      </c>
      <c r="B163" s="3">
        <v>2002</v>
      </c>
      <c r="C163" s="3">
        <v>2018</v>
      </c>
      <c r="D163" s="3">
        <f>(C163-B163)</f>
        <v>16</v>
      </c>
      <c r="E163" s="4">
        <v>1</v>
      </c>
      <c r="F163" s="4">
        <v>164</v>
      </c>
      <c r="G163" s="5">
        <f t="shared" si="6"/>
        <v>163</v>
      </c>
      <c r="H163" s="6">
        <f t="shared" si="7"/>
        <v>16300</v>
      </c>
      <c r="I163" s="6">
        <f t="shared" si="8"/>
        <v>1018</v>
      </c>
    </row>
    <row r="164" spans="1:9" ht="14.25" customHeight="1" x14ac:dyDescent="0.35">
      <c r="A164" s="2" t="s">
        <v>293</v>
      </c>
      <c r="B164" s="3">
        <v>2006</v>
      </c>
      <c r="C164" s="3">
        <v>2018</v>
      </c>
      <c r="D164" s="3">
        <f>(C164-B164)</f>
        <v>12</v>
      </c>
      <c r="E164" s="4">
        <v>67</v>
      </c>
      <c r="F164" s="4">
        <v>590</v>
      </c>
      <c r="G164" s="5">
        <f t="shared" si="6"/>
        <v>523</v>
      </c>
      <c r="H164" s="6">
        <f t="shared" si="7"/>
        <v>780</v>
      </c>
      <c r="I164" s="6">
        <f t="shared" si="8"/>
        <v>65</v>
      </c>
    </row>
    <row r="165" spans="1:9" ht="14.25" customHeight="1" x14ac:dyDescent="0.35">
      <c r="A165" s="2" t="s">
        <v>162</v>
      </c>
      <c r="B165" s="3">
        <v>2004</v>
      </c>
      <c r="C165" s="3">
        <v>2018</v>
      </c>
      <c r="D165" s="3">
        <f>(C165-B165)</f>
        <v>14</v>
      </c>
      <c r="E165" s="4">
        <v>2</v>
      </c>
      <c r="F165" s="4">
        <v>280</v>
      </c>
      <c r="G165" s="5">
        <f t="shared" si="6"/>
        <v>278</v>
      </c>
      <c r="H165" s="6">
        <f t="shared" si="7"/>
        <v>13900</v>
      </c>
      <c r="I165" s="6">
        <f t="shared" si="8"/>
        <v>992</v>
      </c>
    </row>
    <row r="166" spans="1:9" ht="14.25" customHeight="1" x14ac:dyDescent="0.35">
      <c r="A166" s="2" t="s">
        <v>374</v>
      </c>
      <c r="B166" s="3">
        <v>2002</v>
      </c>
      <c r="C166" s="3">
        <v>2018</v>
      </c>
      <c r="D166" s="3">
        <f>(C166-B166)</f>
        <v>16</v>
      </c>
      <c r="E166" s="4">
        <v>7</v>
      </c>
      <c r="F166" s="4">
        <v>104</v>
      </c>
      <c r="G166" s="5">
        <f t="shared" si="6"/>
        <v>97</v>
      </c>
      <c r="H166" s="6">
        <f t="shared" si="7"/>
        <v>1385</v>
      </c>
      <c r="I166" s="6">
        <f t="shared" si="8"/>
        <v>86</v>
      </c>
    </row>
    <row r="167" spans="1:9" ht="14.25" customHeight="1" x14ac:dyDescent="0.35">
      <c r="A167" s="2" t="s">
        <v>220</v>
      </c>
      <c r="B167" s="3">
        <v>2002</v>
      </c>
      <c r="C167" s="3">
        <v>2018</v>
      </c>
      <c r="D167" s="3">
        <f>(C167-B167)</f>
        <v>16</v>
      </c>
      <c r="E167" s="4">
        <v>374</v>
      </c>
      <c r="F167" s="4">
        <v>7055</v>
      </c>
      <c r="G167" s="5">
        <f t="shared" si="6"/>
        <v>6681</v>
      </c>
      <c r="H167" s="6">
        <f t="shared" si="7"/>
        <v>1786</v>
      </c>
      <c r="I167" s="6">
        <f t="shared" si="8"/>
        <v>111</v>
      </c>
    </row>
    <row r="168" spans="1:9" ht="14.25" customHeight="1" x14ac:dyDescent="0.35">
      <c r="A168" s="2" t="s">
        <v>345</v>
      </c>
      <c r="B168" s="3">
        <v>2006</v>
      </c>
      <c r="C168" s="3">
        <v>2018</v>
      </c>
      <c r="D168" s="3">
        <f>(C168-B168)</f>
        <v>12</v>
      </c>
      <c r="E168" s="4">
        <v>38</v>
      </c>
      <c r="F168" s="4">
        <v>178</v>
      </c>
      <c r="G168" s="5">
        <f t="shared" si="6"/>
        <v>140</v>
      </c>
      <c r="H168" s="6">
        <f t="shared" si="7"/>
        <v>368</v>
      </c>
      <c r="I168" s="6">
        <f t="shared" si="8"/>
        <v>30</v>
      </c>
    </row>
    <row r="169" spans="1:9" ht="14.25" customHeight="1" x14ac:dyDescent="0.35">
      <c r="A169" s="2" t="s">
        <v>310</v>
      </c>
      <c r="B169" s="3">
        <v>2002</v>
      </c>
      <c r="C169" s="3">
        <v>2018</v>
      </c>
      <c r="D169" s="3">
        <f>(C169-B169)</f>
        <v>16</v>
      </c>
      <c r="E169" s="4">
        <v>41</v>
      </c>
      <c r="F169" s="4">
        <v>497</v>
      </c>
      <c r="G169" s="5">
        <f t="shared" si="6"/>
        <v>456</v>
      </c>
      <c r="H169" s="6">
        <f t="shared" si="7"/>
        <v>1112</v>
      </c>
      <c r="I169" s="6">
        <f t="shared" si="8"/>
        <v>69</v>
      </c>
    </row>
    <row r="170" spans="1:9" ht="14.25" customHeight="1" x14ac:dyDescent="0.35">
      <c r="A170" s="2" t="s">
        <v>160</v>
      </c>
      <c r="B170" s="3">
        <v>2002</v>
      </c>
      <c r="C170" s="3">
        <v>2018</v>
      </c>
      <c r="D170" s="3">
        <f>(C170-B170)</f>
        <v>16</v>
      </c>
      <c r="E170" s="4">
        <v>6</v>
      </c>
      <c r="F170" s="4">
        <v>1095</v>
      </c>
      <c r="G170" s="5">
        <f t="shared" si="6"/>
        <v>1089</v>
      </c>
      <c r="H170" s="6">
        <f t="shared" si="7"/>
        <v>18150</v>
      </c>
      <c r="I170" s="6">
        <f t="shared" si="8"/>
        <v>1134</v>
      </c>
    </row>
    <row r="171" spans="1:9" ht="14.25" customHeight="1" x14ac:dyDescent="0.35">
      <c r="A171" s="2" t="s">
        <v>346</v>
      </c>
      <c r="B171" s="3">
        <v>2015</v>
      </c>
      <c r="C171" s="3">
        <v>2018</v>
      </c>
      <c r="D171" s="3">
        <f>(C171-B171)</f>
        <v>3</v>
      </c>
      <c r="E171" s="4">
        <v>116</v>
      </c>
      <c r="F171" s="4">
        <v>149</v>
      </c>
      <c r="G171" s="5">
        <f t="shared" si="6"/>
        <v>33</v>
      </c>
      <c r="H171" s="6">
        <f t="shared" si="7"/>
        <v>28</v>
      </c>
      <c r="I171" s="6">
        <f t="shared" si="8"/>
        <v>9</v>
      </c>
    </row>
    <row r="172" spans="1:9" ht="14.25" customHeight="1" x14ac:dyDescent="0.35">
      <c r="A172" s="2" t="s">
        <v>258</v>
      </c>
      <c r="B172" s="3">
        <v>2014</v>
      </c>
      <c r="C172" s="3">
        <v>2018</v>
      </c>
      <c r="D172" s="3">
        <f>(C172-B172)</f>
        <v>4</v>
      </c>
      <c r="E172" s="4">
        <v>263</v>
      </c>
      <c r="F172" s="4">
        <v>861</v>
      </c>
      <c r="G172" s="5">
        <f t="shared" si="6"/>
        <v>598</v>
      </c>
      <c r="H172" s="6">
        <f t="shared" si="7"/>
        <v>227</v>
      </c>
      <c r="I172" s="6">
        <f t="shared" si="8"/>
        <v>56</v>
      </c>
    </row>
    <row r="173" spans="1:9" ht="14.25" customHeight="1" x14ac:dyDescent="0.35">
      <c r="A173" s="2" t="s">
        <v>436</v>
      </c>
      <c r="B173" s="3">
        <v>2006</v>
      </c>
      <c r="C173" s="3">
        <v>2018</v>
      </c>
      <c r="D173" s="3">
        <f>(C173-B173)</f>
        <v>12</v>
      </c>
      <c r="E173" s="4">
        <v>30</v>
      </c>
      <c r="F173" s="4">
        <v>9</v>
      </c>
      <c r="G173" s="5">
        <f t="shared" si="6"/>
        <v>-21</v>
      </c>
      <c r="H173" s="6">
        <f t="shared" si="7"/>
        <v>-70</v>
      </c>
      <c r="I173" s="6">
        <f t="shared" si="8"/>
        <v>-6</v>
      </c>
    </row>
    <row r="174" spans="1:9" ht="14.25" customHeight="1" x14ac:dyDescent="0.35">
      <c r="A174" s="2" t="s">
        <v>437</v>
      </c>
      <c r="B174" s="3">
        <v>2010</v>
      </c>
      <c r="C174" s="3">
        <v>2018</v>
      </c>
      <c r="D174" s="3">
        <f>(C174-B174)</f>
        <v>8</v>
      </c>
      <c r="E174" s="4">
        <v>40</v>
      </c>
      <c r="F174" s="4">
        <v>30</v>
      </c>
      <c r="G174" s="5">
        <f t="shared" si="6"/>
        <v>-10</v>
      </c>
      <c r="H174" s="6">
        <f t="shared" si="7"/>
        <v>-25</v>
      </c>
      <c r="I174" s="6">
        <f t="shared" si="8"/>
        <v>-4</v>
      </c>
    </row>
    <row r="175" spans="1:9" ht="14.25" customHeight="1" x14ac:dyDescent="0.35">
      <c r="A175" s="2" t="s">
        <v>263</v>
      </c>
      <c r="B175" s="3">
        <v>2014</v>
      </c>
      <c r="C175" s="3">
        <v>2018</v>
      </c>
      <c r="D175" s="3">
        <f>(C175-B175)</f>
        <v>4</v>
      </c>
      <c r="E175" s="4">
        <v>181</v>
      </c>
      <c r="F175" s="4">
        <v>720</v>
      </c>
      <c r="G175" s="5">
        <f t="shared" si="6"/>
        <v>539</v>
      </c>
      <c r="H175" s="6">
        <f t="shared" si="7"/>
        <v>297</v>
      </c>
      <c r="I175" s="6">
        <f t="shared" si="8"/>
        <v>74</v>
      </c>
    </row>
    <row r="176" spans="1:9" ht="14.25" customHeight="1" x14ac:dyDescent="0.35">
      <c r="A176" s="2" t="s">
        <v>40</v>
      </c>
      <c r="B176" s="3">
        <v>2002</v>
      </c>
      <c r="C176" s="3">
        <v>2018</v>
      </c>
      <c r="D176" s="3">
        <f>(C176-B176)</f>
        <v>16</v>
      </c>
      <c r="E176" s="4">
        <v>2</v>
      </c>
      <c r="F176" s="4">
        <v>764</v>
      </c>
      <c r="G176" s="5">
        <f t="shared" si="6"/>
        <v>762</v>
      </c>
      <c r="H176" s="6">
        <f t="shared" si="7"/>
        <v>38100</v>
      </c>
      <c r="I176" s="6">
        <f t="shared" si="8"/>
        <v>2381</v>
      </c>
    </row>
    <row r="177" spans="1:9" ht="14.25" customHeight="1" x14ac:dyDescent="0.35">
      <c r="A177" s="2" t="s">
        <v>423</v>
      </c>
      <c r="B177" s="3">
        <v>2002</v>
      </c>
      <c r="C177" s="3">
        <v>2018</v>
      </c>
      <c r="D177" s="3">
        <f>(C177-B177)</f>
        <v>16</v>
      </c>
      <c r="E177" s="4">
        <v>3</v>
      </c>
      <c r="F177" s="4">
        <v>14</v>
      </c>
      <c r="G177" s="5">
        <f t="shared" si="6"/>
        <v>11</v>
      </c>
      <c r="H177" s="6">
        <f t="shared" si="7"/>
        <v>366</v>
      </c>
      <c r="I177" s="6">
        <f t="shared" si="8"/>
        <v>22</v>
      </c>
    </row>
    <row r="178" spans="1:9" ht="14.25" customHeight="1" x14ac:dyDescent="0.35">
      <c r="A178" s="2" t="s">
        <v>433</v>
      </c>
      <c r="B178" s="3">
        <v>2002</v>
      </c>
      <c r="C178" s="3">
        <v>2018</v>
      </c>
      <c r="D178" s="3">
        <f>(C178-B178)</f>
        <v>16</v>
      </c>
      <c r="E178" s="4">
        <v>21</v>
      </c>
      <c r="F178" s="4">
        <v>19</v>
      </c>
      <c r="G178" s="5">
        <f t="shared" si="6"/>
        <v>-2</v>
      </c>
      <c r="H178" s="6">
        <f t="shared" si="7"/>
        <v>-10</v>
      </c>
      <c r="I178" s="6">
        <f t="shared" si="8"/>
        <v>-1</v>
      </c>
    </row>
    <row r="179" spans="1:9" ht="14.25" customHeight="1" x14ac:dyDescent="0.35">
      <c r="A179" s="2" t="s">
        <v>45</v>
      </c>
      <c r="B179" s="3">
        <v>2002</v>
      </c>
      <c r="C179" s="3">
        <v>2018</v>
      </c>
      <c r="D179" s="3">
        <f>(C179-B179)</f>
        <v>16</v>
      </c>
      <c r="E179" s="4">
        <v>61</v>
      </c>
      <c r="F179" s="4">
        <v>1102</v>
      </c>
      <c r="G179" s="5">
        <f t="shared" si="6"/>
        <v>1041</v>
      </c>
      <c r="H179" s="6">
        <f t="shared" si="7"/>
        <v>1706</v>
      </c>
      <c r="I179" s="6">
        <f t="shared" si="8"/>
        <v>106</v>
      </c>
    </row>
    <row r="180" spans="1:9" ht="14.25" customHeight="1" x14ac:dyDescent="0.35">
      <c r="A180" s="2" t="s">
        <v>48</v>
      </c>
      <c r="B180" s="3">
        <v>2002</v>
      </c>
      <c r="C180" s="3">
        <v>2018</v>
      </c>
      <c r="D180" s="3">
        <f>(C180-B180)</f>
        <v>16</v>
      </c>
      <c r="E180" s="4">
        <v>43</v>
      </c>
      <c r="F180" s="4">
        <v>2299</v>
      </c>
      <c r="G180" s="5">
        <f t="shared" si="6"/>
        <v>2256</v>
      </c>
      <c r="H180" s="6">
        <f t="shared" si="7"/>
        <v>5246</v>
      </c>
      <c r="I180" s="6">
        <f t="shared" si="8"/>
        <v>327</v>
      </c>
    </row>
    <row r="181" spans="1:9" ht="14.25" customHeight="1" x14ac:dyDescent="0.35">
      <c r="A181" s="2" t="s">
        <v>51</v>
      </c>
      <c r="B181" s="3">
        <v>2002</v>
      </c>
      <c r="C181" s="3">
        <v>2018</v>
      </c>
      <c r="D181" s="3">
        <f>(C181-B181)</f>
        <v>16</v>
      </c>
      <c r="E181" s="4">
        <v>43</v>
      </c>
      <c r="F181" s="4">
        <v>2299</v>
      </c>
      <c r="G181" s="5">
        <f t="shared" si="6"/>
        <v>2256</v>
      </c>
      <c r="H181" s="6">
        <f t="shared" si="7"/>
        <v>5246</v>
      </c>
      <c r="I181" s="6">
        <f t="shared" si="8"/>
        <v>327</v>
      </c>
    </row>
    <row r="182" spans="1:9" ht="14.25" customHeight="1" x14ac:dyDescent="0.35">
      <c r="A182" s="2" t="s">
        <v>299</v>
      </c>
      <c r="B182" s="3">
        <v>2017</v>
      </c>
      <c r="C182" s="3">
        <v>2018</v>
      </c>
      <c r="D182" s="3">
        <f>(C182-B182)</f>
        <v>1</v>
      </c>
      <c r="E182" s="4">
        <v>344</v>
      </c>
      <c r="F182" s="4">
        <v>380</v>
      </c>
      <c r="G182" s="5">
        <f t="shared" si="6"/>
        <v>36</v>
      </c>
      <c r="H182" s="6">
        <f t="shared" si="7"/>
        <v>10</v>
      </c>
      <c r="I182" s="6">
        <f t="shared" si="8"/>
        <v>10</v>
      </c>
    </row>
    <row r="183" spans="1:9" ht="14.25" customHeight="1" x14ac:dyDescent="0.35">
      <c r="A183" s="2" t="s">
        <v>193</v>
      </c>
      <c r="B183" s="3">
        <v>2002</v>
      </c>
      <c r="C183" s="3">
        <v>2018</v>
      </c>
      <c r="D183" s="3">
        <f>(C183-B183)</f>
        <v>16</v>
      </c>
      <c r="E183" s="4">
        <v>39</v>
      </c>
      <c r="F183" s="4">
        <v>2103</v>
      </c>
      <c r="G183" s="5">
        <f t="shared" si="6"/>
        <v>2064</v>
      </c>
      <c r="H183" s="6">
        <f t="shared" si="7"/>
        <v>5292</v>
      </c>
      <c r="I183" s="6">
        <f t="shared" si="8"/>
        <v>330</v>
      </c>
    </row>
    <row r="184" spans="1:9" ht="14.25" customHeight="1" x14ac:dyDescent="0.35">
      <c r="A184" s="2" t="s">
        <v>353</v>
      </c>
      <c r="B184" s="3">
        <v>2002</v>
      </c>
      <c r="C184" s="3">
        <v>2018</v>
      </c>
      <c r="D184" s="3">
        <f>(C184-B184)</f>
        <v>16</v>
      </c>
      <c r="E184" s="4">
        <v>11</v>
      </c>
      <c r="F184" s="4">
        <v>180</v>
      </c>
      <c r="G184" s="5">
        <f t="shared" si="6"/>
        <v>169</v>
      </c>
      <c r="H184" s="6">
        <f t="shared" si="7"/>
        <v>1536</v>
      </c>
      <c r="I184" s="6">
        <f t="shared" si="8"/>
        <v>96</v>
      </c>
    </row>
    <row r="185" spans="1:9" ht="14.25" customHeight="1" x14ac:dyDescent="0.35">
      <c r="A185" s="2" t="s">
        <v>197</v>
      </c>
      <c r="B185" s="3">
        <v>2002</v>
      </c>
      <c r="C185" s="3">
        <v>2018</v>
      </c>
      <c r="D185" s="3">
        <f>(C185-B185)</f>
        <v>16</v>
      </c>
      <c r="E185" s="4">
        <v>9</v>
      </c>
      <c r="F185" s="4">
        <v>548</v>
      </c>
      <c r="G185" s="5">
        <f t="shared" si="6"/>
        <v>539</v>
      </c>
      <c r="H185" s="6">
        <f t="shared" si="7"/>
        <v>5988</v>
      </c>
      <c r="I185" s="6">
        <f t="shared" si="8"/>
        <v>374</v>
      </c>
    </row>
    <row r="186" spans="1:9" ht="14.25" customHeight="1" x14ac:dyDescent="0.35">
      <c r="A186" s="2" t="s">
        <v>54</v>
      </c>
      <c r="B186" s="3">
        <v>2002</v>
      </c>
      <c r="C186" s="3">
        <v>2018</v>
      </c>
      <c r="D186" s="3">
        <f>(C186-B186)</f>
        <v>16</v>
      </c>
      <c r="E186" s="4">
        <v>324</v>
      </c>
      <c r="F186" s="4">
        <v>2577</v>
      </c>
      <c r="G186" s="5">
        <f t="shared" si="6"/>
        <v>2253</v>
      </c>
      <c r="H186" s="6">
        <f t="shared" si="7"/>
        <v>695</v>
      </c>
      <c r="I186" s="6">
        <f t="shared" si="8"/>
        <v>43</v>
      </c>
    </row>
    <row r="187" spans="1:9" ht="14.25" customHeight="1" x14ac:dyDescent="0.35">
      <c r="A187" s="2" t="s">
        <v>200</v>
      </c>
      <c r="B187" s="3">
        <v>2002</v>
      </c>
      <c r="C187" s="3">
        <v>2018</v>
      </c>
      <c r="D187" s="3">
        <f>(C187-B187)</f>
        <v>16</v>
      </c>
      <c r="E187" s="4">
        <v>7</v>
      </c>
      <c r="F187" s="4">
        <v>360</v>
      </c>
      <c r="G187" s="5">
        <f t="shared" si="6"/>
        <v>353</v>
      </c>
      <c r="H187" s="6">
        <f t="shared" si="7"/>
        <v>5042</v>
      </c>
      <c r="I187" s="6">
        <f t="shared" si="8"/>
        <v>315</v>
      </c>
    </row>
    <row r="188" spans="1:9" ht="14.25" customHeight="1" x14ac:dyDescent="0.35">
      <c r="A188" s="2" t="s">
        <v>410</v>
      </c>
      <c r="B188" s="3">
        <v>2011</v>
      </c>
      <c r="C188" s="3">
        <v>2018</v>
      </c>
      <c r="D188" s="3">
        <f>(C188-B188)</f>
        <v>7</v>
      </c>
      <c r="E188" s="4">
        <v>9</v>
      </c>
      <c r="F188" s="4">
        <v>23</v>
      </c>
      <c r="G188" s="5">
        <f t="shared" si="6"/>
        <v>14</v>
      </c>
      <c r="H188" s="6">
        <f t="shared" si="7"/>
        <v>155</v>
      </c>
      <c r="I188" s="6">
        <f t="shared" si="8"/>
        <v>22</v>
      </c>
    </row>
    <row r="189" spans="1:9" ht="14.25" customHeight="1" x14ac:dyDescent="0.35">
      <c r="A189" s="2" t="s">
        <v>341</v>
      </c>
      <c r="B189" s="3">
        <v>2002</v>
      </c>
      <c r="C189" s="3">
        <v>2018</v>
      </c>
      <c r="D189" s="3">
        <f>(C189-B189)</f>
        <v>16</v>
      </c>
      <c r="E189" s="4">
        <v>21</v>
      </c>
      <c r="F189" s="4">
        <v>221</v>
      </c>
      <c r="G189" s="5">
        <f t="shared" si="6"/>
        <v>200</v>
      </c>
      <c r="H189" s="6">
        <f t="shared" si="7"/>
        <v>952</v>
      </c>
      <c r="I189" s="6">
        <f t="shared" si="8"/>
        <v>59</v>
      </c>
    </row>
    <row r="190" spans="1:9" ht="14.25" customHeight="1" x14ac:dyDescent="0.35">
      <c r="A190" s="2" t="s">
        <v>57</v>
      </c>
      <c r="B190" s="3">
        <v>2002</v>
      </c>
      <c r="C190" s="3">
        <v>2018</v>
      </c>
      <c r="D190" s="3">
        <f>(C190-B190)</f>
        <v>16</v>
      </c>
      <c r="E190" s="4">
        <v>60</v>
      </c>
      <c r="F190" s="4">
        <v>217</v>
      </c>
      <c r="G190" s="5">
        <f t="shared" si="6"/>
        <v>157</v>
      </c>
      <c r="H190" s="6">
        <f t="shared" si="7"/>
        <v>261</v>
      </c>
      <c r="I190" s="6">
        <f t="shared" si="8"/>
        <v>16</v>
      </c>
    </row>
    <row r="191" spans="1:9" ht="14.25" customHeight="1" x14ac:dyDescent="0.35">
      <c r="A191" s="2" t="s">
        <v>471</v>
      </c>
      <c r="B191" s="3">
        <v>2010</v>
      </c>
      <c r="C191" s="3">
        <v>2018</v>
      </c>
      <c r="D191" s="3">
        <f>(C191-B191)</f>
        <v>8</v>
      </c>
      <c r="E191" s="4">
        <v>367</v>
      </c>
      <c r="F191" s="4">
        <v>49</v>
      </c>
      <c r="G191" s="5">
        <f t="shared" si="6"/>
        <v>-318</v>
      </c>
      <c r="H191" s="6">
        <f t="shared" si="7"/>
        <v>-87</v>
      </c>
      <c r="I191" s="6">
        <f t="shared" si="8"/>
        <v>-11</v>
      </c>
    </row>
    <row r="192" spans="1:9" ht="14.25" customHeight="1" x14ac:dyDescent="0.35">
      <c r="A192" s="2" t="s">
        <v>60</v>
      </c>
      <c r="B192" s="3">
        <v>2002</v>
      </c>
      <c r="C192" s="3">
        <v>2018</v>
      </c>
      <c r="D192" s="3">
        <f>(C192-B192)</f>
        <v>16</v>
      </c>
      <c r="E192" s="4">
        <v>63</v>
      </c>
      <c r="F192" s="4">
        <v>275</v>
      </c>
      <c r="G192" s="5">
        <f t="shared" si="6"/>
        <v>212</v>
      </c>
      <c r="H192" s="6">
        <f t="shared" si="7"/>
        <v>336</v>
      </c>
      <c r="I192" s="6">
        <f t="shared" si="8"/>
        <v>21</v>
      </c>
    </row>
    <row r="193" spans="1:9" ht="14.25" customHeight="1" x14ac:dyDescent="0.35">
      <c r="A193" s="2" t="s">
        <v>63</v>
      </c>
      <c r="B193" s="3">
        <v>2002</v>
      </c>
      <c r="C193" s="3">
        <v>2018</v>
      </c>
      <c r="D193" s="3">
        <f>(C193-B193)</f>
        <v>16</v>
      </c>
      <c r="E193" s="4">
        <v>192</v>
      </c>
      <c r="F193" s="4">
        <v>1682</v>
      </c>
      <c r="G193" s="5">
        <f t="shared" si="6"/>
        <v>1490</v>
      </c>
      <c r="H193" s="6">
        <f t="shared" si="7"/>
        <v>776</v>
      </c>
      <c r="I193" s="6">
        <f t="shared" si="8"/>
        <v>48</v>
      </c>
    </row>
    <row r="194" spans="1:9" ht="14.25" customHeight="1" x14ac:dyDescent="0.35">
      <c r="A194" s="2" t="s">
        <v>23</v>
      </c>
      <c r="B194" s="3">
        <v>2006</v>
      </c>
      <c r="C194" s="3">
        <v>2018</v>
      </c>
      <c r="D194" s="3">
        <f>(C194-B194)</f>
        <v>12</v>
      </c>
      <c r="E194" s="4">
        <v>46</v>
      </c>
      <c r="F194" s="4">
        <v>284</v>
      </c>
      <c r="G194" s="5">
        <f t="shared" si="6"/>
        <v>238</v>
      </c>
      <c r="H194" s="6">
        <f t="shared" si="7"/>
        <v>517</v>
      </c>
      <c r="I194" s="6">
        <f t="shared" si="8"/>
        <v>43</v>
      </c>
    </row>
    <row r="195" spans="1:9" ht="14.25" customHeight="1" x14ac:dyDescent="0.35">
      <c r="A195" s="2" t="s">
        <v>168</v>
      </c>
      <c r="B195" s="3">
        <v>2002</v>
      </c>
      <c r="C195" s="3">
        <v>2018</v>
      </c>
      <c r="D195" s="3">
        <f>(C195-B195)</f>
        <v>16</v>
      </c>
      <c r="E195" s="4">
        <v>178</v>
      </c>
      <c r="F195" s="4">
        <v>22610</v>
      </c>
      <c r="G195" s="5">
        <f t="shared" ref="G195:G258" si="9">INT((F195-E195))</f>
        <v>22432</v>
      </c>
      <c r="H195" s="6">
        <f t="shared" ref="H195:H258" si="10">INT(G195*100/E195)</f>
        <v>12602</v>
      </c>
      <c r="I195" s="6">
        <f t="shared" ref="I195:I258" si="11">INT(H195/D195)</f>
        <v>787</v>
      </c>
    </row>
    <row r="196" spans="1:9" ht="14.25" customHeight="1" x14ac:dyDescent="0.35">
      <c r="A196" s="2" t="s">
        <v>364</v>
      </c>
      <c r="B196" s="3">
        <v>2007</v>
      </c>
      <c r="C196" s="3">
        <v>2018</v>
      </c>
      <c r="D196" s="3">
        <f>(C196-B196)</f>
        <v>11</v>
      </c>
      <c r="E196" s="4">
        <v>28</v>
      </c>
      <c r="F196" s="4">
        <v>118</v>
      </c>
      <c r="G196" s="5">
        <f t="shared" si="9"/>
        <v>90</v>
      </c>
      <c r="H196" s="6">
        <f t="shared" si="10"/>
        <v>321</v>
      </c>
      <c r="I196" s="6">
        <f t="shared" si="11"/>
        <v>29</v>
      </c>
    </row>
    <row r="197" spans="1:9" ht="14.25" customHeight="1" x14ac:dyDescent="0.35">
      <c r="A197" s="2" t="s">
        <v>468</v>
      </c>
      <c r="B197" s="3">
        <v>2017</v>
      </c>
      <c r="C197" s="3">
        <v>2018</v>
      </c>
      <c r="D197" s="3">
        <f>(C197-B197)</f>
        <v>1</v>
      </c>
      <c r="E197" s="4">
        <v>72</v>
      </c>
      <c r="F197" s="4">
        <v>45</v>
      </c>
      <c r="G197" s="5">
        <f t="shared" si="9"/>
        <v>-27</v>
      </c>
      <c r="H197" s="6">
        <f t="shared" si="10"/>
        <v>-38</v>
      </c>
      <c r="I197" s="6">
        <f t="shared" si="11"/>
        <v>-38</v>
      </c>
    </row>
    <row r="198" spans="1:9" ht="14.25" customHeight="1" x14ac:dyDescent="0.35">
      <c r="A198" s="2" t="s">
        <v>464</v>
      </c>
      <c r="B198" s="3">
        <v>2007</v>
      </c>
      <c r="C198" s="3">
        <v>2018</v>
      </c>
      <c r="D198" s="3">
        <f>(C198-B198)</f>
        <v>11</v>
      </c>
      <c r="E198" s="4">
        <v>325</v>
      </c>
      <c r="F198" s="4">
        <v>92</v>
      </c>
      <c r="G198" s="5">
        <f t="shared" si="9"/>
        <v>-233</v>
      </c>
      <c r="H198" s="6">
        <f t="shared" si="10"/>
        <v>-72</v>
      </c>
      <c r="I198" s="6">
        <f t="shared" si="11"/>
        <v>-7</v>
      </c>
    </row>
    <row r="199" spans="1:9" ht="14.25" customHeight="1" x14ac:dyDescent="0.35">
      <c r="A199" s="2" t="s">
        <v>66</v>
      </c>
      <c r="B199" s="3">
        <v>2013</v>
      </c>
      <c r="C199" s="3">
        <v>2018</v>
      </c>
      <c r="D199" s="3">
        <f>(C199-B199)</f>
        <v>5</v>
      </c>
      <c r="E199" s="4">
        <v>245</v>
      </c>
      <c r="F199" s="4">
        <v>845</v>
      </c>
      <c r="G199" s="5">
        <f t="shared" si="9"/>
        <v>600</v>
      </c>
      <c r="H199" s="6">
        <f t="shared" si="10"/>
        <v>244</v>
      </c>
      <c r="I199" s="6">
        <f t="shared" si="11"/>
        <v>48</v>
      </c>
    </row>
    <row r="200" spans="1:9" ht="14.25" customHeight="1" x14ac:dyDescent="0.35">
      <c r="A200" s="2" t="s">
        <v>314</v>
      </c>
      <c r="B200" s="3">
        <v>2008</v>
      </c>
      <c r="C200" s="3">
        <v>2018</v>
      </c>
      <c r="D200" s="3">
        <f>(C200-B200)</f>
        <v>10</v>
      </c>
      <c r="E200" s="4">
        <v>90</v>
      </c>
      <c r="F200" s="4">
        <v>341</v>
      </c>
      <c r="G200" s="5">
        <f t="shared" si="9"/>
        <v>251</v>
      </c>
      <c r="H200" s="6">
        <f t="shared" si="10"/>
        <v>278</v>
      </c>
      <c r="I200" s="6">
        <f t="shared" si="11"/>
        <v>27</v>
      </c>
    </row>
    <row r="201" spans="1:9" ht="14.25" customHeight="1" x14ac:dyDescent="0.35">
      <c r="A201" s="2" t="s">
        <v>69</v>
      </c>
      <c r="B201" s="3">
        <v>2002</v>
      </c>
      <c r="C201" s="3">
        <v>2018</v>
      </c>
      <c r="D201" s="3">
        <f>(C201-B201)</f>
        <v>16</v>
      </c>
      <c r="E201" s="4">
        <v>27</v>
      </c>
      <c r="F201" s="4">
        <v>398</v>
      </c>
      <c r="G201" s="5">
        <f t="shared" si="9"/>
        <v>371</v>
      </c>
      <c r="H201" s="6">
        <f t="shared" si="10"/>
        <v>1374</v>
      </c>
      <c r="I201" s="6">
        <f t="shared" si="11"/>
        <v>85</v>
      </c>
    </row>
    <row r="202" spans="1:9" ht="14.25" customHeight="1" x14ac:dyDescent="0.35">
      <c r="A202" s="2" t="s">
        <v>248</v>
      </c>
      <c r="B202" s="3">
        <v>2017</v>
      </c>
      <c r="C202" s="3">
        <v>2018</v>
      </c>
      <c r="D202" s="3">
        <f>(C202-B202)</f>
        <v>1</v>
      </c>
      <c r="E202" s="4">
        <v>689</v>
      </c>
      <c r="F202" s="4">
        <v>999</v>
      </c>
      <c r="G202" s="5">
        <f t="shared" si="9"/>
        <v>310</v>
      </c>
      <c r="H202" s="6">
        <f t="shared" si="10"/>
        <v>44</v>
      </c>
      <c r="I202" s="6">
        <f t="shared" si="11"/>
        <v>44</v>
      </c>
    </row>
    <row r="203" spans="1:9" ht="14.25" customHeight="1" x14ac:dyDescent="0.35">
      <c r="A203" s="2" t="s">
        <v>130</v>
      </c>
      <c r="B203" s="3">
        <v>2016</v>
      </c>
      <c r="C203" s="3">
        <v>2018</v>
      </c>
      <c r="D203" s="3">
        <f>(C203-B203)</f>
        <v>2</v>
      </c>
      <c r="E203" s="4">
        <v>310</v>
      </c>
      <c r="F203" s="4">
        <v>371</v>
      </c>
      <c r="G203" s="5">
        <f t="shared" si="9"/>
        <v>61</v>
      </c>
      <c r="H203" s="6">
        <f t="shared" si="10"/>
        <v>19</v>
      </c>
      <c r="I203" s="6">
        <f t="shared" si="11"/>
        <v>9</v>
      </c>
    </row>
    <row r="204" spans="1:9" ht="14.25" customHeight="1" x14ac:dyDescent="0.35">
      <c r="A204" s="2" t="s">
        <v>401</v>
      </c>
      <c r="B204" s="3">
        <v>2005</v>
      </c>
      <c r="C204" s="3">
        <v>2018</v>
      </c>
      <c r="D204" s="3">
        <f>(C204-B204)</f>
        <v>13</v>
      </c>
      <c r="E204" s="4">
        <v>8</v>
      </c>
      <c r="F204" s="4">
        <v>54</v>
      </c>
      <c r="G204" s="5">
        <f t="shared" si="9"/>
        <v>46</v>
      </c>
      <c r="H204" s="6">
        <f t="shared" si="10"/>
        <v>575</v>
      </c>
      <c r="I204" s="6">
        <f t="shared" si="11"/>
        <v>44</v>
      </c>
    </row>
    <row r="205" spans="1:9" ht="14.25" customHeight="1" x14ac:dyDescent="0.35">
      <c r="A205" s="2" t="s">
        <v>27</v>
      </c>
      <c r="B205" s="3">
        <v>2002</v>
      </c>
      <c r="C205" s="3">
        <v>2018</v>
      </c>
      <c r="D205" s="3">
        <f>(C205-B205)</f>
        <v>16</v>
      </c>
      <c r="E205" s="4">
        <v>24</v>
      </c>
      <c r="F205" s="4">
        <v>46</v>
      </c>
      <c r="G205" s="5">
        <f t="shared" si="9"/>
        <v>22</v>
      </c>
      <c r="H205" s="6">
        <f t="shared" si="10"/>
        <v>91</v>
      </c>
      <c r="I205" s="6">
        <f t="shared" si="11"/>
        <v>5</v>
      </c>
    </row>
    <row r="206" spans="1:9" ht="14.25" customHeight="1" x14ac:dyDescent="0.35">
      <c r="A206" s="2" t="s">
        <v>106</v>
      </c>
      <c r="B206" s="3">
        <v>2007</v>
      </c>
      <c r="C206" s="3">
        <v>2018</v>
      </c>
      <c r="D206" s="3">
        <f>(C206-B206)</f>
        <v>11</v>
      </c>
      <c r="E206" s="4">
        <v>86</v>
      </c>
      <c r="F206" s="4">
        <v>17</v>
      </c>
      <c r="G206" s="5">
        <f t="shared" si="9"/>
        <v>-69</v>
      </c>
      <c r="H206" s="6">
        <f t="shared" si="10"/>
        <v>-81</v>
      </c>
      <c r="I206" s="6">
        <f t="shared" si="11"/>
        <v>-8</v>
      </c>
    </row>
    <row r="207" spans="1:9" ht="14.25" customHeight="1" x14ac:dyDescent="0.35">
      <c r="A207" s="2" t="s">
        <v>80</v>
      </c>
      <c r="B207" s="3">
        <v>2005</v>
      </c>
      <c r="C207" s="3">
        <v>2018</v>
      </c>
      <c r="D207" s="3">
        <f>(C207-B207)</f>
        <v>13</v>
      </c>
      <c r="E207" s="4">
        <v>69</v>
      </c>
      <c r="F207" s="4">
        <v>46</v>
      </c>
      <c r="G207" s="5">
        <f t="shared" si="9"/>
        <v>-23</v>
      </c>
      <c r="H207" s="6">
        <f t="shared" si="10"/>
        <v>-34</v>
      </c>
      <c r="I207" s="6">
        <f t="shared" si="11"/>
        <v>-3</v>
      </c>
    </row>
    <row r="208" spans="1:9" ht="14.25" customHeight="1" x14ac:dyDescent="0.35">
      <c r="A208" s="2" t="s">
        <v>445</v>
      </c>
      <c r="B208" s="3">
        <v>2015</v>
      </c>
      <c r="C208" s="3">
        <v>2018</v>
      </c>
      <c r="D208" s="3">
        <f>(C208-B208)</f>
        <v>3</v>
      </c>
      <c r="E208" s="4">
        <v>70</v>
      </c>
      <c r="F208" s="4">
        <v>55</v>
      </c>
      <c r="G208" s="5">
        <f t="shared" si="9"/>
        <v>-15</v>
      </c>
      <c r="H208" s="6">
        <f t="shared" si="10"/>
        <v>-22</v>
      </c>
      <c r="I208" s="6">
        <f t="shared" si="11"/>
        <v>-8</v>
      </c>
    </row>
    <row r="209" spans="1:9" ht="14.25" customHeight="1" x14ac:dyDescent="0.35">
      <c r="A209" s="2" t="s">
        <v>383</v>
      </c>
      <c r="B209" s="3">
        <v>2017</v>
      </c>
      <c r="C209" s="3">
        <v>2018</v>
      </c>
      <c r="D209" s="3">
        <f>(C209-B209)</f>
        <v>1</v>
      </c>
      <c r="E209" s="4">
        <v>156</v>
      </c>
      <c r="F209" s="4">
        <v>161</v>
      </c>
      <c r="G209" s="5">
        <f t="shared" si="9"/>
        <v>5</v>
      </c>
      <c r="H209" s="6">
        <f t="shared" si="10"/>
        <v>3</v>
      </c>
      <c r="I209" s="6">
        <f t="shared" si="11"/>
        <v>3</v>
      </c>
    </row>
    <row r="210" spans="1:9" ht="14.25" customHeight="1" x14ac:dyDescent="0.35">
      <c r="A210" s="2" t="s">
        <v>166</v>
      </c>
      <c r="B210" s="3">
        <v>2002</v>
      </c>
      <c r="C210" s="3">
        <v>2018</v>
      </c>
      <c r="D210" s="3">
        <f>(C210-B210)</f>
        <v>16</v>
      </c>
      <c r="E210" s="4">
        <v>7</v>
      </c>
      <c r="F210" s="4">
        <v>950</v>
      </c>
      <c r="G210" s="5">
        <f t="shared" si="9"/>
        <v>943</v>
      </c>
      <c r="H210" s="6">
        <f t="shared" si="10"/>
        <v>13471</v>
      </c>
      <c r="I210" s="6">
        <f t="shared" si="11"/>
        <v>841</v>
      </c>
    </row>
    <row r="211" spans="1:9" ht="14.25" customHeight="1" x14ac:dyDescent="0.35">
      <c r="A211" s="2" t="s">
        <v>424</v>
      </c>
      <c r="B211" s="3">
        <v>2002</v>
      </c>
      <c r="C211" s="3">
        <v>2018</v>
      </c>
      <c r="D211" s="3">
        <f>(C211-B211)</f>
        <v>16</v>
      </c>
      <c r="E211" s="4">
        <v>6</v>
      </c>
      <c r="F211" s="4">
        <v>14</v>
      </c>
      <c r="G211" s="5">
        <f t="shared" si="9"/>
        <v>8</v>
      </c>
      <c r="H211" s="6">
        <f t="shared" si="10"/>
        <v>133</v>
      </c>
      <c r="I211" s="6">
        <f t="shared" si="11"/>
        <v>8</v>
      </c>
    </row>
    <row r="212" spans="1:9" ht="14.25" customHeight="1" x14ac:dyDescent="0.35">
      <c r="A212" s="2" t="s">
        <v>74</v>
      </c>
      <c r="B212" s="3">
        <v>2003</v>
      </c>
      <c r="C212" s="3">
        <v>2018</v>
      </c>
      <c r="D212" s="3">
        <f>(C212-B212)</f>
        <v>15</v>
      </c>
      <c r="E212" s="4">
        <v>24</v>
      </c>
      <c r="F212" s="4">
        <v>301</v>
      </c>
      <c r="G212" s="5">
        <f t="shared" si="9"/>
        <v>277</v>
      </c>
      <c r="H212" s="6">
        <f t="shared" si="10"/>
        <v>1154</v>
      </c>
      <c r="I212" s="6">
        <f t="shared" si="11"/>
        <v>76</v>
      </c>
    </row>
    <row r="213" spans="1:9" ht="14.25" customHeight="1" x14ac:dyDescent="0.35">
      <c r="A213" s="2" t="s">
        <v>470</v>
      </c>
      <c r="B213" s="3">
        <v>2010</v>
      </c>
      <c r="C213" s="3">
        <v>2018</v>
      </c>
      <c r="D213" s="3">
        <f>(C213-B213)</f>
        <v>8</v>
      </c>
      <c r="E213" s="4">
        <v>260</v>
      </c>
      <c r="F213" s="4">
        <v>6</v>
      </c>
      <c r="G213" s="5">
        <f t="shared" si="9"/>
        <v>-254</v>
      </c>
      <c r="H213" s="6">
        <f t="shared" si="10"/>
        <v>-98</v>
      </c>
      <c r="I213" s="6">
        <f t="shared" si="11"/>
        <v>-13</v>
      </c>
    </row>
    <row r="214" spans="1:9" ht="14.25" customHeight="1" x14ac:dyDescent="0.35">
      <c r="A214" s="2" t="s">
        <v>365</v>
      </c>
      <c r="B214" s="3">
        <v>2002</v>
      </c>
      <c r="C214" s="3">
        <v>2018</v>
      </c>
      <c r="D214" s="3">
        <f>(C214-B214)</f>
        <v>16</v>
      </c>
      <c r="E214" s="4">
        <v>15</v>
      </c>
      <c r="F214" s="4">
        <v>158</v>
      </c>
      <c r="G214" s="5">
        <f t="shared" si="9"/>
        <v>143</v>
      </c>
      <c r="H214" s="6">
        <f t="shared" si="10"/>
        <v>953</v>
      </c>
      <c r="I214" s="6">
        <f t="shared" si="11"/>
        <v>59</v>
      </c>
    </row>
    <row r="215" spans="1:9" ht="14.25" customHeight="1" x14ac:dyDescent="0.35">
      <c r="A215" s="2" t="s">
        <v>394</v>
      </c>
      <c r="B215" s="3">
        <v>2002</v>
      </c>
      <c r="C215" s="3">
        <v>2018</v>
      </c>
      <c r="D215" s="3">
        <f>(C215-B215)</f>
        <v>16</v>
      </c>
      <c r="E215" s="4">
        <v>30</v>
      </c>
      <c r="F215" s="4">
        <v>109</v>
      </c>
      <c r="G215" s="5">
        <f t="shared" si="9"/>
        <v>79</v>
      </c>
      <c r="H215" s="6">
        <f t="shared" si="10"/>
        <v>263</v>
      </c>
      <c r="I215" s="6">
        <f t="shared" si="11"/>
        <v>16</v>
      </c>
    </row>
    <row r="216" spans="1:9" ht="14.25" customHeight="1" x14ac:dyDescent="0.35">
      <c r="A216" s="2" t="s">
        <v>134</v>
      </c>
      <c r="B216" s="3">
        <v>2007</v>
      </c>
      <c r="C216" s="3">
        <v>2018</v>
      </c>
      <c r="D216" s="3">
        <f>(C216-B216)</f>
        <v>11</v>
      </c>
      <c r="E216" s="4">
        <v>98</v>
      </c>
      <c r="F216" s="4">
        <v>281</v>
      </c>
      <c r="G216" s="5">
        <f t="shared" si="9"/>
        <v>183</v>
      </c>
      <c r="H216" s="6">
        <f t="shared" si="10"/>
        <v>186</v>
      </c>
      <c r="I216" s="6">
        <f t="shared" si="11"/>
        <v>16</v>
      </c>
    </row>
    <row r="217" spans="1:9" ht="14.25" customHeight="1" x14ac:dyDescent="0.35">
      <c r="A217" s="2" t="s">
        <v>100</v>
      </c>
      <c r="B217" s="3">
        <v>2015</v>
      </c>
      <c r="C217" s="3">
        <v>2018</v>
      </c>
      <c r="D217" s="3">
        <f>(C217-B217)</f>
        <v>3</v>
      </c>
      <c r="E217" s="4">
        <v>1004</v>
      </c>
      <c r="F217" s="4">
        <v>1384</v>
      </c>
      <c r="G217" s="5">
        <f t="shared" si="9"/>
        <v>380</v>
      </c>
      <c r="H217" s="6">
        <f t="shared" si="10"/>
        <v>37</v>
      </c>
      <c r="I217" s="6">
        <f t="shared" si="11"/>
        <v>12</v>
      </c>
    </row>
    <row r="218" spans="1:9" ht="14.25" customHeight="1" x14ac:dyDescent="0.35">
      <c r="A218" s="2" t="s">
        <v>347</v>
      </c>
      <c r="B218" s="3">
        <v>2005</v>
      </c>
      <c r="C218" s="3">
        <v>2018</v>
      </c>
      <c r="D218" s="3">
        <f>(C218-B218)</f>
        <v>13</v>
      </c>
      <c r="E218" s="4">
        <v>52</v>
      </c>
      <c r="F218" s="4">
        <v>200</v>
      </c>
      <c r="G218" s="5">
        <f t="shared" si="9"/>
        <v>148</v>
      </c>
      <c r="H218" s="6">
        <f t="shared" si="10"/>
        <v>284</v>
      </c>
      <c r="I218" s="6">
        <f t="shared" si="11"/>
        <v>21</v>
      </c>
    </row>
    <row r="219" spans="1:9" ht="14.25" customHeight="1" x14ac:dyDescent="0.35">
      <c r="A219" s="2" t="s">
        <v>72</v>
      </c>
      <c r="B219" s="3">
        <v>2002</v>
      </c>
      <c r="C219" s="3">
        <v>2018</v>
      </c>
      <c r="D219" s="3">
        <f>(C219-B219)</f>
        <v>16</v>
      </c>
      <c r="E219" s="4">
        <v>18</v>
      </c>
      <c r="F219" s="4">
        <v>1805</v>
      </c>
      <c r="G219" s="5">
        <f t="shared" si="9"/>
        <v>1787</v>
      </c>
      <c r="H219" s="6">
        <f t="shared" si="10"/>
        <v>9927</v>
      </c>
      <c r="I219" s="6">
        <f t="shared" si="11"/>
        <v>620</v>
      </c>
    </row>
    <row r="220" spans="1:9" ht="14.25" customHeight="1" x14ac:dyDescent="0.35">
      <c r="A220" s="2" t="s">
        <v>438</v>
      </c>
      <c r="B220" s="3">
        <v>2016</v>
      </c>
      <c r="C220" s="3">
        <v>2018</v>
      </c>
      <c r="D220" s="3">
        <f>(C220-B220)</f>
        <v>2</v>
      </c>
      <c r="E220" s="4">
        <v>45</v>
      </c>
      <c r="F220" s="4">
        <v>42</v>
      </c>
      <c r="G220" s="5">
        <f t="shared" si="9"/>
        <v>-3</v>
      </c>
      <c r="H220" s="6">
        <f t="shared" si="10"/>
        <v>-7</v>
      </c>
      <c r="I220" s="6">
        <f t="shared" si="11"/>
        <v>-4</v>
      </c>
    </row>
    <row r="221" spans="1:9" ht="14.25" customHeight="1" x14ac:dyDescent="0.35">
      <c r="A221" s="2" t="s">
        <v>75</v>
      </c>
      <c r="B221" s="3">
        <v>2012</v>
      </c>
      <c r="C221" s="3">
        <v>2018</v>
      </c>
      <c r="D221" s="3">
        <f>(C221-B221)</f>
        <v>6</v>
      </c>
      <c r="E221" s="4">
        <v>191</v>
      </c>
      <c r="F221" s="4">
        <v>314</v>
      </c>
      <c r="G221" s="5">
        <f t="shared" si="9"/>
        <v>123</v>
      </c>
      <c r="H221" s="6">
        <f t="shared" si="10"/>
        <v>64</v>
      </c>
      <c r="I221" s="6">
        <f t="shared" si="11"/>
        <v>10</v>
      </c>
    </row>
    <row r="222" spans="1:9" ht="14.25" customHeight="1" x14ac:dyDescent="0.35">
      <c r="A222" s="2" t="s">
        <v>78</v>
      </c>
      <c r="B222" s="3">
        <v>2002</v>
      </c>
      <c r="C222" s="3">
        <v>2018</v>
      </c>
      <c r="D222" s="3">
        <f>(C222-B222)</f>
        <v>16</v>
      </c>
      <c r="E222" s="4">
        <v>53</v>
      </c>
      <c r="F222" s="4">
        <v>750</v>
      </c>
      <c r="G222" s="5">
        <f t="shared" si="9"/>
        <v>697</v>
      </c>
      <c r="H222" s="6">
        <f t="shared" si="10"/>
        <v>1315</v>
      </c>
      <c r="I222" s="6">
        <f t="shared" si="11"/>
        <v>82</v>
      </c>
    </row>
    <row r="223" spans="1:9" ht="14.25" customHeight="1" x14ac:dyDescent="0.35">
      <c r="A223" s="2" t="s">
        <v>348</v>
      </c>
      <c r="B223" s="3">
        <v>2006</v>
      </c>
      <c r="C223" s="3">
        <v>2018</v>
      </c>
      <c r="D223" s="3">
        <f>(C223-B223)</f>
        <v>12</v>
      </c>
      <c r="E223" s="4">
        <v>187</v>
      </c>
      <c r="F223" s="4">
        <v>319</v>
      </c>
      <c r="G223" s="5">
        <f t="shared" si="9"/>
        <v>132</v>
      </c>
      <c r="H223" s="6">
        <f t="shared" si="10"/>
        <v>70</v>
      </c>
      <c r="I223" s="6">
        <f t="shared" si="11"/>
        <v>5</v>
      </c>
    </row>
    <row r="224" spans="1:9" ht="14.25" customHeight="1" x14ac:dyDescent="0.35">
      <c r="A224" s="2" t="s">
        <v>488</v>
      </c>
      <c r="B224" s="3">
        <v>2015</v>
      </c>
      <c r="C224" s="3">
        <v>2018</v>
      </c>
      <c r="D224" s="3">
        <f>(C224-B224)</f>
        <v>3</v>
      </c>
      <c r="E224" s="4">
        <v>439</v>
      </c>
      <c r="F224" s="4">
        <v>70</v>
      </c>
      <c r="G224" s="5">
        <f t="shared" si="9"/>
        <v>-369</v>
      </c>
      <c r="H224" s="6">
        <f t="shared" si="10"/>
        <v>-85</v>
      </c>
      <c r="I224" s="6">
        <f t="shared" si="11"/>
        <v>-29</v>
      </c>
    </row>
    <row r="225" spans="1:9" ht="14.25" customHeight="1" x14ac:dyDescent="0.35">
      <c r="A225" s="2" t="s">
        <v>300</v>
      </c>
      <c r="B225" s="3">
        <v>2014</v>
      </c>
      <c r="C225" s="3">
        <v>2018</v>
      </c>
      <c r="D225" s="3">
        <f>(C225-B225)</f>
        <v>4</v>
      </c>
      <c r="E225" s="4">
        <v>71</v>
      </c>
      <c r="F225" s="4">
        <v>217</v>
      </c>
      <c r="G225" s="5">
        <f t="shared" si="9"/>
        <v>146</v>
      </c>
      <c r="H225" s="6">
        <f t="shared" si="10"/>
        <v>205</v>
      </c>
      <c r="I225" s="6">
        <f t="shared" si="11"/>
        <v>51</v>
      </c>
    </row>
    <row r="226" spans="1:9" ht="14.25" customHeight="1" x14ac:dyDescent="0.35">
      <c r="A226" s="2" t="s">
        <v>425</v>
      </c>
      <c r="B226" s="3">
        <v>2002</v>
      </c>
      <c r="C226" s="3">
        <v>2018</v>
      </c>
      <c r="D226" s="3">
        <f>(C226-B226)</f>
        <v>16</v>
      </c>
      <c r="E226" s="4">
        <v>12</v>
      </c>
      <c r="F226" s="4">
        <v>15</v>
      </c>
      <c r="G226" s="5">
        <f t="shared" si="9"/>
        <v>3</v>
      </c>
      <c r="H226" s="6">
        <f t="shared" si="10"/>
        <v>25</v>
      </c>
      <c r="I226" s="6">
        <f t="shared" si="11"/>
        <v>1</v>
      </c>
    </row>
    <row r="227" spans="1:9" ht="14.25" customHeight="1" x14ac:dyDescent="0.35">
      <c r="A227" s="2" t="s">
        <v>81</v>
      </c>
      <c r="B227" s="3">
        <v>2002</v>
      </c>
      <c r="C227" s="3">
        <v>2018</v>
      </c>
      <c r="D227" s="3">
        <f>(C227-B227)</f>
        <v>16</v>
      </c>
      <c r="E227" s="4">
        <v>17</v>
      </c>
      <c r="F227" s="4">
        <v>155</v>
      </c>
      <c r="G227" s="5">
        <f t="shared" si="9"/>
        <v>138</v>
      </c>
      <c r="H227" s="6">
        <f t="shared" si="10"/>
        <v>811</v>
      </c>
      <c r="I227" s="6">
        <f t="shared" si="11"/>
        <v>50</v>
      </c>
    </row>
    <row r="228" spans="1:9" ht="14.25" customHeight="1" x14ac:dyDescent="0.35">
      <c r="A228" s="2" t="s">
        <v>185</v>
      </c>
      <c r="B228" s="3">
        <v>2002</v>
      </c>
      <c r="C228" s="3">
        <v>2018</v>
      </c>
      <c r="D228" s="3">
        <f>(C228-B228)</f>
        <v>16</v>
      </c>
      <c r="E228" s="4">
        <v>14</v>
      </c>
      <c r="F228" s="4">
        <v>999</v>
      </c>
      <c r="G228" s="5">
        <f t="shared" si="9"/>
        <v>985</v>
      </c>
      <c r="H228" s="6">
        <f t="shared" si="10"/>
        <v>7035</v>
      </c>
      <c r="I228" s="6">
        <f t="shared" si="11"/>
        <v>439</v>
      </c>
    </row>
    <row r="229" spans="1:9" ht="14.25" customHeight="1" x14ac:dyDescent="0.35">
      <c r="A229" s="2" t="s">
        <v>444</v>
      </c>
      <c r="B229" s="3">
        <v>2008</v>
      </c>
      <c r="C229" s="3">
        <v>2018</v>
      </c>
      <c r="D229" s="3">
        <f>(C229-B229)</f>
        <v>10</v>
      </c>
      <c r="E229" s="4">
        <v>193</v>
      </c>
      <c r="F229" s="4">
        <v>154</v>
      </c>
      <c r="G229" s="5">
        <f t="shared" si="9"/>
        <v>-39</v>
      </c>
      <c r="H229" s="6">
        <f t="shared" si="10"/>
        <v>-21</v>
      </c>
      <c r="I229" s="6">
        <f t="shared" si="11"/>
        <v>-3</v>
      </c>
    </row>
    <row r="230" spans="1:9" ht="14.25" customHeight="1" x14ac:dyDescent="0.35">
      <c r="A230" s="2" t="s">
        <v>84</v>
      </c>
      <c r="B230" s="3">
        <v>2002</v>
      </c>
      <c r="C230" s="3">
        <v>2018</v>
      </c>
      <c r="D230" s="3">
        <f>(C230-B230)</f>
        <v>16</v>
      </c>
      <c r="E230" s="4">
        <v>16</v>
      </c>
      <c r="F230" s="4">
        <v>298</v>
      </c>
      <c r="G230" s="5">
        <f t="shared" si="9"/>
        <v>282</v>
      </c>
      <c r="H230" s="6">
        <f t="shared" si="10"/>
        <v>1762</v>
      </c>
      <c r="I230" s="6">
        <f t="shared" si="11"/>
        <v>110</v>
      </c>
    </row>
    <row r="231" spans="1:9" ht="14.25" customHeight="1" x14ac:dyDescent="0.35">
      <c r="A231" s="2" t="s">
        <v>301</v>
      </c>
      <c r="B231" s="3">
        <v>2016</v>
      </c>
      <c r="C231" s="3">
        <v>2018</v>
      </c>
      <c r="D231" s="3">
        <f>(C231-B231)</f>
        <v>2</v>
      </c>
      <c r="E231" s="4">
        <v>213</v>
      </c>
      <c r="F231" s="4">
        <v>284</v>
      </c>
      <c r="G231" s="5">
        <f t="shared" si="9"/>
        <v>71</v>
      </c>
      <c r="H231" s="6">
        <f t="shared" si="10"/>
        <v>33</v>
      </c>
      <c r="I231" s="6">
        <f t="shared" si="11"/>
        <v>16</v>
      </c>
    </row>
    <row r="232" spans="1:9" ht="14.25" customHeight="1" x14ac:dyDescent="0.35">
      <c r="A232" s="2" t="s">
        <v>375</v>
      </c>
      <c r="B232" s="3">
        <v>2002</v>
      </c>
      <c r="C232" s="3">
        <v>2018</v>
      </c>
      <c r="D232" s="3">
        <f>(C232-B232)</f>
        <v>16</v>
      </c>
      <c r="E232" s="4">
        <v>25</v>
      </c>
      <c r="F232" s="4">
        <v>131</v>
      </c>
      <c r="G232" s="5">
        <f t="shared" si="9"/>
        <v>106</v>
      </c>
      <c r="H232" s="6">
        <f t="shared" si="10"/>
        <v>424</v>
      </c>
      <c r="I232" s="6">
        <f t="shared" si="11"/>
        <v>26</v>
      </c>
    </row>
    <row r="233" spans="1:9" ht="14.25" customHeight="1" x14ac:dyDescent="0.35">
      <c r="A233" s="2" t="s">
        <v>395</v>
      </c>
      <c r="B233" s="3">
        <v>2002</v>
      </c>
      <c r="C233" s="3">
        <v>2018</v>
      </c>
      <c r="D233" s="3">
        <f>(C233-B233)</f>
        <v>16</v>
      </c>
      <c r="E233" s="4">
        <v>36</v>
      </c>
      <c r="F233" s="4">
        <v>102</v>
      </c>
      <c r="G233" s="5">
        <f t="shared" si="9"/>
        <v>66</v>
      </c>
      <c r="H233" s="6">
        <f t="shared" si="10"/>
        <v>183</v>
      </c>
      <c r="I233" s="6">
        <f t="shared" si="11"/>
        <v>11</v>
      </c>
    </row>
    <row r="234" spans="1:9" ht="14.25" customHeight="1" x14ac:dyDescent="0.35">
      <c r="A234" s="2" t="s">
        <v>402</v>
      </c>
      <c r="B234" s="3">
        <v>2002</v>
      </c>
      <c r="C234" s="3">
        <v>2018</v>
      </c>
      <c r="D234" s="3">
        <f>(C234-B234)</f>
        <v>16</v>
      </c>
      <c r="E234" s="4">
        <v>9</v>
      </c>
      <c r="F234" s="4">
        <v>58</v>
      </c>
      <c r="G234" s="5">
        <f t="shared" si="9"/>
        <v>49</v>
      </c>
      <c r="H234" s="6">
        <f t="shared" si="10"/>
        <v>544</v>
      </c>
      <c r="I234" s="6">
        <f t="shared" si="11"/>
        <v>34</v>
      </c>
    </row>
    <row r="235" spans="1:9" ht="14.25" customHeight="1" x14ac:dyDescent="0.35">
      <c r="A235" s="2" t="s">
        <v>376</v>
      </c>
      <c r="B235" s="3">
        <v>2006</v>
      </c>
      <c r="C235" s="3">
        <v>2018</v>
      </c>
      <c r="D235" s="3">
        <f>(C235-B235)</f>
        <v>12</v>
      </c>
      <c r="E235" s="4">
        <v>45</v>
      </c>
      <c r="F235" s="4">
        <v>119</v>
      </c>
      <c r="G235" s="5">
        <f t="shared" si="9"/>
        <v>74</v>
      </c>
      <c r="H235" s="6">
        <f t="shared" si="10"/>
        <v>164</v>
      </c>
      <c r="I235" s="6">
        <f t="shared" si="11"/>
        <v>13</v>
      </c>
    </row>
    <row r="236" spans="1:9" ht="14.25" customHeight="1" x14ac:dyDescent="0.35">
      <c r="A236" s="2" t="s">
        <v>217</v>
      </c>
      <c r="B236" s="3">
        <v>2002</v>
      </c>
      <c r="C236" s="3">
        <v>2018</v>
      </c>
      <c r="D236" s="3">
        <f>(C236-B236)</f>
        <v>16</v>
      </c>
      <c r="E236" s="4">
        <v>3</v>
      </c>
      <c r="F236" s="4">
        <v>114</v>
      </c>
      <c r="G236" s="5">
        <f t="shared" si="9"/>
        <v>111</v>
      </c>
      <c r="H236" s="6">
        <f t="shared" si="10"/>
        <v>3700</v>
      </c>
      <c r="I236" s="6">
        <f t="shared" si="11"/>
        <v>231</v>
      </c>
    </row>
    <row r="237" spans="1:9" ht="14.25" customHeight="1" x14ac:dyDescent="0.35">
      <c r="A237" s="2" t="s">
        <v>325</v>
      </c>
      <c r="B237" s="3">
        <v>2002</v>
      </c>
      <c r="C237" s="3">
        <v>2018</v>
      </c>
      <c r="D237" s="3">
        <f>(C237-B237)</f>
        <v>16</v>
      </c>
      <c r="E237" s="4">
        <v>41</v>
      </c>
      <c r="F237" s="4">
        <v>355</v>
      </c>
      <c r="G237" s="5">
        <f t="shared" si="9"/>
        <v>314</v>
      </c>
      <c r="H237" s="6">
        <f t="shared" si="10"/>
        <v>765</v>
      </c>
      <c r="I237" s="6">
        <f t="shared" si="11"/>
        <v>47</v>
      </c>
    </row>
    <row r="238" spans="1:9" ht="14.25" customHeight="1" x14ac:dyDescent="0.35">
      <c r="A238" s="2" t="s">
        <v>177</v>
      </c>
      <c r="B238" s="3">
        <v>2002</v>
      </c>
      <c r="C238" s="3">
        <v>2018</v>
      </c>
      <c r="D238" s="3">
        <f>(C238-B238)</f>
        <v>16</v>
      </c>
      <c r="E238" s="4">
        <v>22</v>
      </c>
      <c r="F238" s="4">
        <v>2023</v>
      </c>
      <c r="G238" s="5">
        <f t="shared" si="9"/>
        <v>2001</v>
      </c>
      <c r="H238" s="6">
        <f t="shared" si="10"/>
        <v>9095</v>
      </c>
      <c r="I238" s="6">
        <f t="shared" si="11"/>
        <v>568</v>
      </c>
    </row>
    <row r="239" spans="1:9" ht="14.25" customHeight="1" x14ac:dyDescent="0.35">
      <c r="A239" s="2" t="s">
        <v>483</v>
      </c>
      <c r="B239" s="3">
        <v>2005</v>
      </c>
      <c r="C239" s="3">
        <v>2018</v>
      </c>
      <c r="D239" s="3">
        <f>(C239-B239)</f>
        <v>13</v>
      </c>
      <c r="E239" s="4">
        <v>1230</v>
      </c>
      <c r="F239" s="4">
        <v>258</v>
      </c>
      <c r="G239" s="5">
        <f t="shared" si="9"/>
        <v>-972</v>
      </c>
      <c r="H239" s="6">
        <f t="shared" si="10"/>
        <v>-80</v>
      </c>
      <c r="I239" s="6">
        <f t="shared" si="11"/>
        <v>-7</v>
      </c>
    </row>
    <row r="240" spans="1:9" ht="14.25" customHeight="1" x14ac:dyDescent="0.35">
      <c r="A240" s="2" t="s">
        <v>396</v>
      </c>
      <c r="B240" s="3">
        <v>2002</v>
      </c>
      <c r="C240" s="3">
        <v>2018</v>
      </c>
      <c r="D240" s="3">
        <f>(C240-B240)</f>
        <v>16</v>
      </c>
      <c r="E240" s="4">
        <v>17</v>
      </c>
      <c r="F240" s="4">
        <v>88</v>
      </c>
      <c r="G240" s="5">
        <f t="shared" si="9"/>
        <v>71</v>
      </c>
      <c r="H240" s="6">
        <f t="shared" si="10"/>
        <v>417</v>
      </c>
      <c r="I240" s="6">
        <f t="shared" si="11"/>
        <v>26</v>
      </c>
    </row>
    <row r="241" spans="1:9" ht="14.25" customHeight="1" x14ac:dyDescent="0.35">
      <c r="A241" s="2" t="s">
        <v>89</v>
      </c>
      <c r="B241" s="3">
        <v>2002</v>
      </c>
      <c r="C241" s="3">
        <v>2018</v>
      </c>
      <c r="D241" s="3">
        <f>(C241-B241)</f>
        <v>16</v>
      </c>
      <c r="E241" s="4">
        <v>5</v>
      </c>
      <c r="F241" s="4">
        <v>186</v>
      </c>
      <c r="G241" s="5">
        <f t="shared" si="9"/>
        <v>181</v>
      </c>
      <c r="H241" s="6">
        <f t="shared" si="10"/>
        <v>3620</v>
      </c>
      <c r="I241" s="6">
        <f t="shared" si="11"/>
        <v>226</v>
      </c>
    </row>
    <row r="242" spans="1:9" ht="14.25" customHeight="1" x14ac:dyDescent="0.35">
      <c r="A242" s="2" t="s">
        <v>403</v>
      </c>
      <c r="B242" s="3">
        <v>2002</v>
      </c>
      <c r="C242" s="3">
        <v>2018</v>
      </c>
      <c r="D242" s="3">
        <f>(C242-B242)</f>
        <v>16</v>
      </c>
      <c r="E242" s="4">
        <v>10</v>
      </c>
      <c r="F242" s="4">
        <v>59</v>
      </c>
      <c r="G242" s="5">
        <f t="shared" si="9"/>
        <v>49</v>
      </c>
      <c r="H242" s="6">
        <f t="shared" si="10"/>
        <v>490</v>
      </c>
      <c r="I242" s="6">
        <f t="shared" si="11"/>
        <v>30</v>
      </c>
    </row>
    <row r="243" spans="1:9" ht="14.25" customHeight="1" x14ac:dyDescent="0.35">
      <c r="A243" s="2" t="s">
        <v>281</v>
      </c>
      <c r="B243" s="3">
        <v>2006</v>
      </c>
      <c r="C243" s="3">
        <v>2018</v>
      </c>
      <c r="D243" s="3">
        <f>(C243-B243)</f>
        <v>12</v>
      </c>
      <c r="E243" s="4">
        <v>152</v>
      </c>
      <c r="F243" s="4">
        <v>850</v>
      </c>
      <c r="G243" s="5">
        <f t="shared" si="9"/>
        <v>698</v>
      </c>
      <c r="H243" s="6">
        <f t="shared" si="10"/>
        <v>459</v>
      </c>
      <c r="I243" s="6">
        <f t="shared" si="11"/>
        <v>38</v>
      </c>
    </row>
    <row r="244" spans="1:9" ht="14.25" customHeight="1" x14ac:dyDescent="0.35">
      <c r="A244" s="2" t="s">
        <v>354</v>
      </c>
      <c r="B244" s="3">
        <v>2008</v>
      </c>
      <c r="C244" s="3">
        <v>2018</v>
      </c>
      <c r="D244" s="3">
        <f>(C244-B244)</f>
        <v>10</v>
      </c>
      <c r="E244" s="4">
        <v>50</v>
      </c>
      <c r="F244" s="4">
        <v>158</v>
      </c>
      <c r="G244" s="5">
        <f t="shared" si="9"/>
        <v>108</v>
      </c>
      <c r="H244" s="6">
        <f t="shared" si="10"/>
        <v>216</v>
      </c>
      <c r="I244" s="6">
        <f t="shared" si="11"/>
        <v>21</v>
      </c>
    </row>
    <row r="245" spans="1:9" ht="14.25" customHeight="1" x14ac:dyDescent="0.35">
      <c r="A245" s="2" t="s">
        <v>315</v>
      </c>
      <c r="B245" s="3">
        <v>2006</v>
      </c>
      <c r="C245" s="3">
        <v>2018</v>
      </c>
      <c r="D245" s="3">
        <f>(C245-B245)</f>
        <v>12</v>
      </c>
      <c r="E245" s="4">
        <v>56</v>
      </c>
      <c r="F245" s="4">
        <v>361</v>
      </c>
      <c r="G245" s="5">
        <f t="shared" si="9"/>
        <v>305</v>
      </c>
      <c r="H245" s="6">
        <f t="shared" si="10"/>
        <v>544</v>
      </c>
      <c r="I245" s="6">
        <f t="shared" si="11"/>
        <v>45</v>
      </c>
    </row>
    <row r="246" spans="1:9" ht="14.25" customHeight="1" x14ac:dyDescent="0.35">
      <c r="A246" s="2" t="s">
        <v>377</v>
      </c>
      <c r="B246" s="3">
        <v>2004</v>
      </c>
      <c r="C246" s="3">
        <v>2018</v>
      </c>
      <c r="D246" s="3">
        <f>(C246-B246)</f>
        <v>14</v>
      </c>
      <c r="E246" s="4">
        <v>7</v>
      </c>
      <c r="F246" s="4">
        <v>94</v>
      </c>
      <c r="G246" s="5">
        <f t="shared" si="9"/>
        <v>87</v>
      </c>
      <c r="H246" s="6">
        <f t="shared" si="10"/>
        <v>1242</v>
      </c>
      <c r="I246" s="6">
        <f t="shared" si="11"/>
        <v>88</v>
      </c>
    </row>
    <row r="247" spans="1:9" ht="14.25" customHeight="1" x14ac:dyDescent="0.35">
      <c r="A247" s="2" t="s">
        <v>384</v>
      </c>
      <c r="B247" s="3">
        <v>2006</v>
      </c>
      <c r="C247" s="3">
        <v>2018</v>
      </c>
      <c r="D247" s="3">
        <f>(C247-B247)</f>
        <v>12</v>
      </c>
      <c r="E247" s="4">
        <v>30</v>
      </c>
      <c r="F247" s="4">
        <v>92</v>
      </c>
      <c r="G247" s="5">
        <f t="shared" si="9"/>
        <v>62</v>
      </c>
      <c r="H247" s="6">
        <f t="shared" si="10"/>
        <v>206</v>
      </c>
      <c r="I247" s="6">
        <f t="shared" si="11"/>
        <v>17</v>
      </c>
    </row>
    <row r="248" spans="1:9" ht="14.25" customHeight="1" x14ac:dyDescent="0.35">
      <c r="A248" s="2" t="s">
        <v>434</v>
      </c>
      <c r="B248" s="3">
        <v>2004</v>
      </c>
      <c r="C248" s="3">
        <v>2018</v>
      </c>
      <c r="D248" s="3">
        <f>(C248-B248)</f>
        <v>14</v>
      </c>
      <c r="E248" s="4">
        <v>13</v>
      </c>
      <c r="F248" s="4">
        <v>6</v>
      </c>
      <c r="G248" s="5">
        <f t="shared" si="9"/>
        <v>-7</v>
      </c>
      <c r="H248" s="6">
        <f t="shared" si="10"/>
        <v>-54</v>
      </c>
      <c r="I248" s="6">
        <f t="shared" si="11"/>
        <v>-4</v>
      </c>
    </row>
    <row r="249" spans="1:9" ht="14.25" customHeight="1" x14ac:dyDescent="0.35">
      <c r="A249" s="2" t="s">
        <v>439</v>
      </c>
      <c r="B249" s="3">
        <v>2004</v>
      </c>
      <c r="C249" s="3">
        <v>2018</v>
      </c>
      <c r="D249" s="3">
        <f>(C249-B249)</f>
        <v>14</v>
      </c>
      <c r="E249" s="4">
        <v>30</v>
      </c>
      <c r="F249" s="4">
        <v>2</v>
      </c>
      <c r="G249" s="5">
        <f t="shared" si="9"/>
        <v>-28</v>
      </c>
      <c r="H249" s="6">
        <f t="shared" si="10"/>
        <v>-94</v>
      </c>
      <c r="I249" s="6">
        <f t="shared" si="11"/>
        <v>-7</v>
      </c>
    </row>
    <row r="250" spans="1:9" ht="14.25" customHeight="1" x14ac:dyDescent="0.35">
      <c r="A250" s="2" t="s">
        <v>440</v>
      </c>
      <c r="B250" s="3">
        <v>2003</v>
      </c>
      <c r="C250" s="3">
        <v>2018</v>
      </c>
      <c r="D250" s="3">
        <f>(C250-B250)</f>
        <v>15</v>
      </c>
      <c r="E250" s="4">
        <v>72</v>
      </c>
      <c r="F250" s="4">
        <v>43</v>
      </c>
      <c r="G250" s="5">
        <f t="shared" si="9"/>
        <v>-29</v>
      </c>
      <c r="H250" s="6">
        <f t="shared" si="10"/>
        <v>-41</v>
      </c>
      <c r="I250" s="6">
        <f t="shared" si="11"/>
        <v>-3</v>
      </c>
    </row>
    <row r="251" spans="1:9" ht="14.25" customHeight="1" x14ac:dyDescent="0.35">
      <c r="A251" s="2" t="s">
        <v>304</v>
      </c>
      <c r="B251" s="3">
        <v>2016</v>
      </c>
      <c r="C251" s="3">
        <v>2018</v>
      </c>
      <c r="D251" s="3">
        <f>(C251-B251)</f>
        <v>2</v>
      </c>
      <c r="E251" s="4">
        <v>35</v>
      </c>
      <c r="F251" s="4">
        <v>98</v>
      </c>
      <c r="G251" s="5">
        <f t="shared" si="9"/>
        <v>63</v>
      </c>
      <c r="H251" s="6">
        <f t="shared" si="10"/>
        <v>180</v>
      </c>
      <c r="I251" s="6">
        <f t="shared" si="11"/>
        <v>90</v>
      </c>
    </row>
    <row r="252" spans="1:9" ht="14.25" customHeight="1" x14ac:dyDescent="0.35">
      <c r="A252" s="2" t="s">
        <v>446</v>
      </c>
      <c r="B252" s="3">
        <v>2010</v>
      </c>
      <c r="C252" s="3">
        <v>2018</v>
      </c>
      <c r="D252" s="3">
        <f>(C252-B252)</f>
        <v>8</v>
      </c>
      <c r="E252" s="4">
        <v>113</v>
      </c>
      <c r="F252" s="4">
        <v>74</v>
      </c>
      <c r="G252" s="5">
        <f t="shared" si="9"/>
        <v>-39</v>
      </c>
      <c r="H252" s="6">
        <f t="shared" si="10"/>
        <v>-35</v>
      </c>
      <c r="I252" s="6">
        <f t="shared" si="11"/>
        <v>-5</v>
      </c>
    </row>
    <row r="253" spans="1:9" ht="14.25" customHeight="1" x14ac:dyDescent="0.35">
      <c r="A253" s="2" t="s">
        <v>70</v>
      </c>
      <c r="B253" s="3">
        <v>2003</v>
      </c>
      <c r="C253" s="3">
        <v>2018</v>
      </c>
      <c r="D253" s="3">
        <f>(C253-B253)</f>
        <v>15</v>
      </c>
      <c r="E253" s="4">
        <v>1</v>
      </c>
      <c r="F253" s="4">
        <v>291</v>
      </c>
      <c r="G253" s="5">
        <f t="shared" si="9"/>
        <v>290</v>
      </c>
      <c r="H253" s="6">
        <f t="shared" si="10"/>
        <v>29000</v>
      </c>
      <c r="I253" s="6">
        <f t="shared" si="11"/>
        <v>1933</v>
      </c>
    </row>
    <row r="254" spans="1:9" ht="14.25" customHeight="1" x14ac:dyDescent="0.35">
      <c r="A254" s="2" t="s">
        <v>195</v>
      </c>
      <c r="B254" s="3">
        <v>2002</v>
      </c>
      <c r="C254" s="3">
        <v>2018</v>
      </c>
      <c r="D254" s="3">
        <f>(C254-B254)</f>
        <v>16</v>
      </c>
      <c r="E254" s="4">
        <v>12</v>
      </c>
      <c r="F254" s="4">
        <v>697</v>
      </c>
      <c r="G254" s="5">
        <f t="shared" si="9"/>
        <v>685</v>
      </c>
      <c r="H254" s="6">
        <f t="shared" si="10"/>
        <v>5708</v>
      </c>
      <c r="I254" s="6">
        <f t="shared" si="11"/>
        <v>356</v>
      </c>
    </row>
    <row r="255" spans="1:9" ht="14.25" customHeight="1" x14ac:dyDescent="0.35">
      <c r="A255" s="2" t="s">
        <v>225</v>
      </c>
      <c r="B255" s="3">
        <v>2010</v>
      </c>
      <c r="C255" s="3">
        <v>2018</v>
      </c>
      <c r="D255" s="3">
        <f>(C255-B255)</f>
        <v>8</v>
      </c>
      <c r="E255" s="4">
        <v>115</v>
      </c>
      <c r="F255" s="4">
        <v>1448</v>
      </c>
      <c r="G255" s="5">
        <f t="shared" si="9"/>
        <v>1333</v>
      </c>
      <c r="H255" s="6">
        <f t="shared" si="10"/>
        <v>1159</v>
      </c>
      <c r="I255" s="6">
        <f t="shared" si="11"/>
        <v>144</v>
      </c>
    </row>
    <row r="256" spans="1:9" ht="14.25" customHeight="1" x14ac:dyDescent="0.35">
      <c r="A256" s="2" t="s">
        <v>459</v>
      </c>
      <c r="B256" s="3">
        <v>2013</v>
      </c>
      <c r="C256" s="3">
        <v>2018</v>
      </c>
      <c r="D256" s="3">
        <f>(C256-B256)</f>
        <v>5</v>
      </c>
      <c r="E256" s="4">
        <v>646</v>
      </c>
      <c r="F256" s="4">
        <v>591</v>
      </c>
      <c r="G256" s="5">
        <f t="shared" si="9"/>
        <v>-55</v>
      </c>
      <c r="H256" s="6">
        <f t="shared" si="10"/>
        <v>-9</v>
      </c>
      <c r="I256" s="6">
        <f t="shared" si="11"/>
        <v>-2</v>
      </c>
    </row>
    <row r="257" spans="1:9" ht="14.25" customHeight="1" x14ac:dyDescent="0.35">
      <c r="A257" s="2" t="s">
        <v>339</v>
      </c>
      <c r="B257" s="3">
        <v>2007</v>
      </c>
      <c r="C257" s="3">
        <v>2018</v>
      </c>
      <c r="D257" s="3">
        <f>(C257-B257)</f>
        <v>11</v>
      </c>
      <c r="E257" s="4">
        <v>39</v>
      </c>
      <c r="F257" s="4">
        <v>183</v>
      </c>
      <c r="G257" s="5">
        <f t="shared" si="9"/>
        <v>144</v>
      </c>
      <c r="H257" s="6">
        <f t="shared" si="10"/>
        <v>369</v>
      </c>
      <c r="I257" s="6">
        <f t="shared" si="11"/>
        <v>33</v>
      </c>
    </row>
    <row r="258" spans="1:9" ht="14.25" customHeight="1" x14ac:dyDescent="0.35">
      <c r="A258" s="2" t="s">
        <v>157</v>
      </c>
      <c r="B258" s="3">
        <v>2002</v>
      </c>
      <c r="C258" s="3">
        <v>2018</v>
      </c>
      <c r="D258" s="3">
        <f>(C258-B258)</f>
        <v>16</v>
      </c>
      <c r="E258" s="4">
        <v>3</v>
      </c>
      <c r="F258" s="4">
        <v>603</v>
      </c>
      <c r="G258" s="5">
        <f t="shared" si="9"/>
        <v>600</v>
      </c>
      <c r="H258" s="6">
        <f t="shared" si="10"/>
        <v>20000</v>
      </c>
      <c r="I258" s="6">
        <f t="shared" si="11"/>
        <v>1250</v>
      </c>
    </row>
    <row r="259" spans="1:9" ht="14.25" customHeight="1" x14ac:dyDescent="0.35">
      <c r="A259" s="2" t="s">
        <v>170</v>
      </c>
      <c r="B259" s="3">
        <v>2002</v>
      </c>
      <c r="C259" s="3">
        <v>2018</v>
      </c>
      <c r="D259" s="3">
        <f>(C259-B259)</f>
        <v>16</v>
      </c>
      <c r="E259" s="4">
        <v>4</v>
      </c>
      <c r="F259" s="4">
        <v>475</v>
      </c>
      <c r="G259" s="5">
        <f t="shared" ref="G259:G322" si="12">INT((F259-E259))</f>
        <v>471</v>
      </c>
      <c r="H259" s="6">
        <f t="shared" ref="H259:H322" si="13">INT(G259*100/E259)</f>
        <v>11775</v>
      </c>
      <c r="I259" s="6">
        <f t="shared" ref="I259:I322" si="14">INT(H259/D259)</f>
        <v>735</v>
      </c>
    </row>
    <row r="260" spans="1:9" ht="14.25" customHeight="1" x14ac:dyDescent="0.35">
      <c r="A260" s="2" t="s">
        <v>179</v>
      </c>
      <c r="B260" s="3">
        <v>2002</v>
      </c>
      <c r="C260" s="3">
        <v>2018</v>
      </c>
      <c r="D260" s="3">
        <f>(C260-B260)</f>
        <v>16</v>
      </c>
      <c r="E260" s="4">
        <v>5</v>
      </c>
      <c r="F260" s="4">
        <v>464</v>
      </c>
      <c r="G260" s="5">
        <f t="shared" si="12"/>
        <v>459</v>
      </c>
      <c r="H260" s="6">
        <f t="shared" si="13"/>
        <v>9180</v>
      </c>
      <c r="I260" s="6">
        <f t="shared" si="14"/>
        <v>573</v>
      </c>
    </row>
    <row r="261" spans="1:9" ht="14.25" customHeight="1" x14ac:dyDescent="0.35">
      <c r="A261" s="2" t="s">
        <v>219</v>
      </c>
      <c r="B261" s="3">
        <v>2002</v>
      </c>
      <c r="C261" s="3">
        <v>2018</v>
      </c>
      <c r="D261" s="3">
        <f>(C261-B261)</f>
        <v>16</v>
      </c>
      <c r="E261" s="4">
        <v>2</v>
      </c>
      <c r="F261" s="4">
        <v>75</v>
      </c>
      <c r="G261" s="5">
        <f t="shared" si="12"/>
        <v>73</v>
      </c>
      <c r="H261" s="6">
        <f t="shared" si="13"/>
        <v>3650</v>
      </c>
      <c r="I261" s="6">
        <f t="shared" si="14"/>
        <v>228</v>
      </c>
    </row>
    <row r="262" spans="1:9" ht="14.25" customHeight="1" x14ac:dyDescent="0.35">
      <c r="A262" s="2" t="s">
        <v>326</v>
      </c>
      <c r="B262" s="3">
        <v>2006</v>
      </c>
      <c r="C262" s="3">
        <v>2018</v>
      </c>
      <c r="D262" s="3">
        <f>(C262-B262)</f>
        <v>12</v>
      </c>
      <c r="E262" s="4">
        <v>84</v>
      </c>
      <c r="F262" s="4">
        <v>301</v>
      </c>
      <c r="G262" s="5">
        <f t="shared" si="12"/>
        <v>217</v>
      </c>
      <c r="H262" s="6">
        <f t="shared" si="13"/>
        <v>258</v>
      </c>
      <c r="I262" s="6">
        <f t="shared" si="14"/>
        <v>21</v>
      </c>
    </row>
    <row r="263" spans="1:9" ht="14.25" customHeight="1" x14ac:dyDescent="0.35">
      <c r="A263" s="2" t="s">
        <v>173</v>
      </c>
      <c r="B263" s="3">
        <v>2016</v>
      </c>
      <c r="C263" s="3">
        <v>2018</v>
      </c>
      <c r="D263" s="3">
        <f>(C263-B263)</f>
        <v>2</v>
      </c>
      <c r="E263" s="4">
        <v>11</v>
      </c>
      <c r="F263" s="4">
        <v>144</v>
      </c>
      <c r="G263" s="5">
        <f t="shared" si="12"/>
        <v>133</v>
      </c>
      <c r="H263" s="6">
        <f t="shared" si="13"/>
        <v>1209</v>
      </c>
      <c r="I263" s="6">
        <f t="shared" si="14"/>
        <v>604</v>
      </c>
    </row>
    <row r="264" spans="1:9" ht="14.25" customHeight="1" x14ac:dyDescent="0.35">
      <c r="A264" s="2" t="s">
        <v>319</v>
      </c>
      <c r="B264" s="3">
        <v>2008</v>
      </c>
      <c r="C264" s="3">
        <v>2018</v>
      </c>
      <c r="D264" s="3">
        <f>(C264-B264)</f>
        <v>10</v>
      </c>
      <c r="E264" s="4">
        <v>27</v>
      </c>
      <c r="F264" s="4">
        <v>256</v>
      </c>
      <c r="G264" s="5">
        <f t="shared" si="12"/>
        <v>229</v>
      </c>
      <c r="H264" s="6">
        <f t="shared" si="13"/>
        <v>848</v>
      </c>
      <c r="I264" s="6">
        <f t="shared" si="14"/>
        <v>84</v>
      </c>
    </row>
    <row r="265" spans="1:9" ht="14.25" customHeight="1" x14ac:dyDescent="0.35">
      <c r="A265" s="2" t="s">
        <v>404</v>
      </c>
      <c r="B265" s="3">
        <v>2007</v>
      </c>
      <c r="C265" s="3">
        <v>2018</v>
      </c>
      <c r="D265" s="3">
        <f>(C265-B265)</f>
        <v>11</v>
      </c>
      <c r="E265" s="4">
        <v>218</v>
      </c>
      <c r="F265" s="4">
        <v>259</v>
      </c>
      <c r="G265" s="5">
        <f t="shared" si="12"/>
        <v>41</v>
      </c>
      <c r="H265" s="6">
        <f t="shared" si="13"/>
        <v>18</v>
      </c>
      <c r="I265" s="6">
        <f t="shared" si="14"/>
        <v>1</v>
      </c>
    </row>
    <row r="266" spans="1:9" ht="14.25" customHeight="1" x14ac:dyDescent="0.35">
      <c r="A266" s="2" t="s">
        <v>87</v>
      </c>
      <c r="B266" s="3">
        <v>2002</v>
      </c>
      <c r="C266" s="3">
        <v>2018</v>
      </c>
      <c r="D266" s="3">
        <f>(C266-B266)</f>
        <v>16</v>
      </c>
      <c r="E266" s="4">
        <v>8</v>
      </c>
      <c r="F266" s="4">
        <v>1347</v>
      </c>
      <c r="G266" s="5">
        <f t="shared" si="12"/>
        <v>1339</v>
      </c>
      <c r="H266" s="6">
        <f t="shared" si="13"/>
        <v>16737</v>
      </c>
      <c r="I266" s="6">
        <f t="shared" si="14"/>
        <v>1046</v>
      </c>
    </row>
    <row r="267" spans="1:9" ht="14.25" customHeight="1" x14ac:dyDescent="0.35">
      <c r="A267" s="2" t="s">
        <v>292</v>
      </c>
      <c r="B267" s="3">
        <v>2007</v>
      </c>
      <c r="C267" s="3">
        <v>2018</v>
      </c>
      <c r="D267" s="3">
        <f>(C267-B267)</f>
        <v>11</v>
      </c>
      <c r="E267" s="4">
        <v>82</v>
      </c>
      <c r="F267" s="4">
        <v>572</v>
      </c>
      <c r="G267" s="5">
        <f t="shared" si="12"/>
        <v>490</v>
      </c>
      <c r="H267" s="6">
        <f t="shared" si="13"/>
        <v>597</v>
      </c>
      <c r="I267" s="6">
        <f t="shared" si="14"/>
        <v>54</v>
      </c>
    </row>
    <row r="268" spans="1:9" ht="14.25" customHeight="1" x14ac:dyDescent="0.35">
      <c r="A268" s="2" t="s">
        <v>171</v>
      </c>
      <c r="B268" s="3">
        <v>2002</v>
      </c>
      <c r="C268" s="3">
        <v>2018</v>
      </c>
      <c r="D268" s="3">
        <f>(C268-B268)</f>
        <v>16</v>
      </c>
      <c r="E268" s="4">
        <v>3</v>
      </c>
      <c r="F268" s="4">
        <v>341</v>
      </c>
      <c r="G268" s="5">
        <f t="shared" si="12"/>
        <v>338</v>
      </c>
      <c r="H268" s="6">
        <f t="shared" si="13"/>
        <v>11266</v>
      </c>
      <c r="I268" s="6">
        <f t="shared" si="14"/>
        <v>704</v>
      </c>
    </row>
    <row r="269" spans="1:9" ht="14.25" customHeight="1" x14ac:dyDescent="0.35">
      <c r="A269" s="2" t="s">
        <v>296</v>
      </c>
      <c r="B269" s="3">
        <v>2007</v>
      </c>
      <c r="C269" s="3">
        <v>2018</v>
      </c>
      <c r="D269" s="3">
        <f>(C269-B269)</f>
        <v>11</v>
      </c>
      <c r="E269" s="4">
        <v>41</v>
      </c>
      <c r="F269" s="4">
        <v>470</v>
      </c>
      <c r="G269" s="5">
        <f t="shared" si="12"/>
        <v>429</v>
      </c>
      <c r="H269" s="6">
        <f t="shared" si="13"/>
        <v>1046</v>
      </c>
      <c r="I269" s="6">
        <f t="shared" si="14"/>
        <v>95</v>
      </c>
    </row>
    <row r="270" spans="1:9" ht="14.25" customHeight="1" x14ac:dyDescent="0.35">
      <c r="A270" s="2" t="s">
        <v>369</v>
      </c>
      <c r="B270" s="3">
        <v>2002</v>
      </c>
      <c r="C270" s="3">
        <v>2018</v>
      </c>
      <c r="D270" s="3">
        <f>(C270-B270)</f>
        <v>16</v>
      </c>
      <c r="E270" s="4">
        <v>22</v>
      </c>
      <c r="F270" s="4">
        <v>134</v>
      </c>
      <c r="G270" s="5">
        <f t="shared" si="12"/>
        <v>112</v>
      </c>
      <c r="H270" s="6">
        <f t="shared" si="13"/>
        <v>509</v>
      </c>
      <c r="I270" s="6">
        <f t="shared" si="14"/>
        <v>31</v>
      </c>
    </row>
    <row r="271" spans="1:9" ht="14.25" customHeight="1" x14ac:dyDescent="0.35">
      <c r="A271" s="2" t="s">
        <v>91</v>
      </c>
      <c r="B271" s="3">
        <v>2011</v>
      </c>
      <c r="C271" s="3">
        <v>2018</v>
      </c>
      <c r="D271" s="3">
        <f>(C271-B271)</f>
        <v>7</v>
      </c>
      <c r="E271" s="4">
        <v>50</v>
      </c>
      <c r="F271" s="4">
        <v>154</v>
      </c>
      <c r="G271" s="5">
        <f t="shared" si="12"/>
        <v>104</v>
      </c>
      <c r="H271" s="6">
        <f t="shared" si="13"/>
        <v>208</v>
      </c>
      <c r="I271" s="6">
        <f t="shared" si="14"/>
        <v>29</v>
      </c>
    </row>
    <row r="272" spans="1:9" ht="14.25" customHeight="1" x14ac:dyDescent="0.35">
      <c r="A272" s="2" t="s">
        <v>397</v>
      </c>
      <c r="B272" s="3">
        <v>2002</v>
      </c>
      <c r="C272" s="3">
        <v>2018</v>
      </c>
      <c r="D272" s="3">
        <f>(C272-B272)</f>
        <v>16</v>
      </c>
      <c r="E272" s="4">
        <v>14</v>
      </c>
      <c r="F272" s="4">
        <v>85</v>
      </c>
      <c r="G272" s="5">
        <f t="shared" si="12"/>
        <v>71</v>
      </c>
      <c r="H272" s="6">
        <f t="shared" si="13"/>
        <v>507</v>
      </c>
      <c r="I272" s="6">
        <f t="shared" si="14"/>
        <v>31</v>
      </c>
    </row>
    <row r="273" spans="1:9" ht="14.25" customHeight="1" x14ac:dyDescent="0.35">
      <c r="A273" s="2" t="s">
        <v>286</v>
      </c>
      <c r="B273" s="3">
        <v>2015</v>
      </c>
      <c r="C273" s="3">
        <v>2018</v>
      </c>
      <c r="D273" s="3">
        <f>(C273-B273)</f>
        <v>3</v>
      </c>
      <c r="E273" s="4">
        <v>896</v>
      </c>
      <c r="F273" s="4">
        <v>1042</v>
      </c>
      <c r="G273" s="5">
        <f t="shared" si="12"/>
        <v>146</v>
      </c>
      <c r="H273" s="6">
        <f t="shared" si="13"/>
        <v>16</v>
      </c>
      <c r="I273" s="6">
        <f t="shared" si="14"/>
        <v>5</v>
      </c>
    </row>
    <row r="274" spans="1:9" ht="14.25" customHeight="1" x14ac:dyDescent="0.35">
      <c r="A274" s="2" t="s">
        <v>472</v>
      </c>
      <c r="B274" s="3">
        <v>2016</v>
      </c>
      <c r="C274" s="3">
        <v>2018</v>
      </c>
      <c r="D274" s="3">
        <f>(C274-B274)</f>
        <v>2</v>
      </c>
      <c r="E274" s="4">
        <v>476</v>
      </c>
      <c r="F274" s="4">
        <v>396</v>
      </c>
      <c r="G274" s="5">
        <f t="shared" si="12"/>
        <v>-80</v>
      </c>
      <c r="H274" s="6">
        <f t="shared" si="13"/>
        <v>-17</v>
      </c>
      <c r="I274" s="6">
        <f t="shared" si="14"/>
        <v>-9</v>
      </c>
    </row>
    <row r="275" spans="1:9" ht="14.25" customHeight="1" x14ac:dyDescent="0.35">
      <c r="A275" s="2" t="s">
        <v>181</v>
      </c>
      <c r="B275" s="3">
        <v>2002</v>
      </c>
      <c r="C275" s="3">
        <v>2018</v>
      </c>
      <c r="D275" s="3">
        <f>(C275-B275)</f>
        <v>16</v>
      </c>
      <c r="E275" s="4">
        <v>92</v>
      </c>
      <c r="F275" s="4">
        <v>6200</v>
      </c>
      <c r="G275" s="5">
        <f t="shared" si="12"/>
        <v>6108</v>
      </c>
      <c r="H275" s="6">
        <f t="shared" si="13"/>
        <v>6639</v>
      </c>
      <c r="I275" s="6">
        <f t="shared" si="14"/>
        <v>414</v>
      </c>
    </row>
    <row r="276" spans="1:9" ht="14.25" customHeight="1" x14ac:dyDescent="0.35">
      <c r="A276" s="2" t="s">
        <v>29</v>
      </c>
      <c r="B276" s="3">
        <v>2002</v>
      </c>
      <c r="C276" s="3">
        <v>2018</v>
      </c>
      <c r="D276" s="3">
        <f>(C276-B276)</f>
        <v>16</v>
      </c>
      <c r="E276" s="4">
        <v>16</v>
      </c>
      <c r="F276" s="4">
        <v>547</v>
      </c>
      <c r="G276" s="5">
        <f t="shared" si="12"/>
        <v>531</v>
      </c>
      <c r="H276" s="6">
        <f t="shared" si="13"/>
        <v>3318</v>
      </c>
      <c r="I276" s="6">
        <f t="shared" si="14"/>
        <v>207</v>
      </c>
    </row>
    <row r="277" spans="1:9" ht="14.25" customHeight="1" x14ac:dyDescent="0.35">
      <c r="A277" s="2" t="s">
        <v>311</v>
      </c>
      <c r="B277" s="3">
        <v>2002</v>
      </c>
      <c r="C277" s="3">
        <v>2018</v>
      </c>
      <c r="D277" s="3">
        <f>(C277-B277)</f>
        <v>16</v>
      </c>
      <c r="E277" s="4">
        <v>38</v>
      </c>
      <c r="F277" s="4">
        <v>486</v>
      </c>
      <c r="G277" s="5">
        <f t="shared" si="12"/>
        <v>448</v>
      </c>
      <c r="H277" s="6">
        <f t="shared" si="13"/>
        <v>1178</v>
      </c>
      <c r="I277" s="6">
        <f t="shared" si="14"/>
        <v>73</v>
      </c>
    </row>
    <row r="278" spans="1:9" ht="14.25" customHeight="1" x14ac:dyDescent="0.35">
      <c r="A278" s="2" t="s">
        <v>90</v>
      </c>
      <c r="B278" s="3">
        <v>2002</v>
      </c>
      <c r="C278" s="3">
        <v>2018</v>
      </c>
      <c r="D278" s="3">
        <f>(C278-B278)</f>
        <v>16</v>
      </c>
      <c r="E278" s="4">
        <v>10</v>
      </c>
      <c r="F278" s="4">
        <v>1395</v>
      </c>
      <c r="G278" s="5">
        <f t="shared" si="12"/>
        <v>1385</v>
      </c>
      <c r="H278" s="6">
        <f t="shared" si="13"/>
        <v>13850</v>
      </c>
      <c r="I278" s="6">
        <f t="shared" si="14"/>
        <v>865</v>
      </c>
    </row>
    <row r="279" spans="1:9" ht="14.25" customHeight="1" x14ac:dyDescent="0.35">
      <c r="A279" s="2" t="s">
        <v>245</v>
      </c>
      <c r="B279" s="3">
        <v>2016</v>
      </c>
      <c r="C279" s="3">
        <v>2018</v>
      </c>
      <c r="D279" s="3">
        <f>(C279-B279)</f>
        <v>2</v>
      </c>
      <c r="E279" s="4">
        <v>700</v>
      </c>
      <c r="F279" s="4">
        <v>1719</v>
      </c>
      <c r="G279" s="5">
        <f t="shared" si="12"/>
        <v>1019</v>
      </c>
      <c r="H279" s="6">
        <f t="shared" si="13"/>
        <v>145</v>
      </c>
      <c r="I279" s="6">
        <f t="shared" si="14"/>
        <v>72</v>
      </c>
    </row>
    <row r="280" spans="1:9" ht="14.25" customHeight="1" x14ac:dyDescent="0.35">
      <c r="A280" s="2" t="s">
        <v>246</v>
      </c>
      <c r="B280" s="3">
        <v>2016</v>
      </c>
      <c r="C280" s="3">
        <v>2018</v>
      </c>
      <c r="D280" s="3">
        <f>(C280-B280)</f>
        <v>2</v>
      </c>
      <c r="E280" s="4">
        <v>870</v>
      </c>
      <c r="F280" s="4">
        <v>1634</v>
      </c>
      <c r="G280" s="5">
        <f t="shared" si="12"/>
        <v>764</v>
      </c>
      <c r="H280" s="6">
        <f t="shared" si="13"/>
        <v>87</v>
      </c>
      <c r="I280" s="6">
        <f t="shared" si="14"/>
        <v>43</v>
      </c>
    </row>
    <row r="281" spans="1:9" ht="14.25" customHeight="1" x14ac:dyDescent="0.35">
      <c r="A281" s="2" t="s">
        <v>93</v>
      </c>
      <c r="B281" s="3">
        <v>2002</v>
      </c>
      <c r="C281" s="3">
        <v>2018</v>
      </c>
      <c r="D281" s="3">
        <f>(C281-B281)</f>
        <v>16</v>
      </c>
      <c r="E281" s="4">
        <v>12</v>
      </c>
      <c r="F281" s="4">
        <v>781</v>
      </c>
      <c r="G281" s="5">
        <f t="shared" si="12"/>
        <v>769</v>
      </c>
      <c r="H281" s="6">
        <f t="shared" si="13"/>
        <v>6408</v>
      </c>
      <c r="I281" s="6">
        <f t="shared" si="14"/>
        <v>400</v>
      </c>
    </row>
    <row r="282" spans="1:9" ht="14.25" customHeight="1" x14ac:dyDescent="0.35">
      <c r="A282" s="2" t="s">
        <v>253</v>
      </c>
      <c r="B282" s="3">
        <v>2015</v>
      </c>
      <c r="C282" s="3">
        <v>2018</v>
      </c>
      <c r="D282" s="3">
        <f>(C282-B282)</f>
        <v>3</v>
      </c>
      <c r="E282" s="4">
        <v>735</v>
      </c>
      <c r="F282" s="4">
        <v>1404</v>
      </c>
      <c r="G282" s="5">
        <f t="shared" si="12"/>
        <v>669</v>
      </c>
      <c r="H282" s="6">
        <f t="shared" si="13"/>
        <v>91</v>
      </c>
      <c r="I282" s="6">
        <f t="shared" si="14"/>
        <v>30</v>
      </c>
    </row>
    <row r="283" spans="1:9" ht="14.25" customHeight="1" x14ac:dyDescent="0.35">
      <c r="A283" s="2" t="s">
        <v>96</v>
      </c>
      <c r="B283" s="3">
        <v>2002</v>
      </c>
      <c r="C283" s="3">
        <v>2018</v>
      </c>
      <c r="D283" s="3">
        <f>(C283-B283)</f>
        <v>16</v>
      </c>
      <c r="E283" s="4">
        <v>15</v>
      </c>
      <c r="F283" s="4">
        <v>670</v>
      </c>
      <c r="G283" s="5">
        <f t="shared" si="12"/>
        <v>655</v>
      </c>
      <c r="H283" s="6">
        <f t="shared" si="13"/>
        <v>4366</v>
      </c>
      <c r="I283" s="6">
        <f t="shared" si="14"/>
        <v>272</v>
      </c>
    </row>
    <row r="284" spans="1:9" ht="14.25" customHeight="1" x14ac:dyDescent="0.35">
      <c r="A284" s="2" t="s">
        <v>53</v>
      </c>
      <c r="B284" s="3">
        <v>2006</v>
      </c>
      <c r="C284" s="3">
        <v>2018</v>
      </c>
      <c r="D284" s="3">
        <f>(C284-B284)</f>
        <v>12</v>
      </c>
      <c r="E284" s="4">
        <v>46</v>
      </c>
      <c r="F284" s="4">
        <v>424</v>
      </c>
      <c r="G284" s="5">
        <f t="shared" si="12"/>
        <v>378</v>
      </c>
      <c r="H284" s="6">
        <f t="shared" si="13"/>
        <v>821</v>
      </c>
      <c r="I284" s="6">
        <f t="shared" si="14"/>
        <v>68</v>
      </c>
    </row>
    <row r="285" spans="1:9" ht="14.25" customHeight="1" x14ac:dyDescent="0.35">
      <c r="A285" s="2" t="s">
        <v>240</v>
      </c>
      <c r="B285" s="3">
        <v>2004</v>
      </c>
      <c r="C285" s="3">
        <v>2018</v>
      </c>
      <c r="D285" s="3">
        <f>(C285-B285)</f>
        <v>14</v>
      </c>
      <c r="E285" s="4">
        <v>5</v>
      </c>
      <c r="F285" s="4">
        <v>122</v>
      </c>
      <c r="G285" s="5">
        <f t="shared" si="12"/>
        <v>117</v>
      </c>
      <c r="H285" s="6">
        <f t="shared" si="13"/>
        <v>2340</v>
      </c>
      <c r="I285" s="6">
        <f t="shared" si="14"/>
        <v>167</v>
      </c>
    </row>
    <row r="286" spans="1:9" ht="14.25" customHeight="1" x14ac:dyDescent="0.35">
      <c r="A286" s="2" t="s">
        <v>426</v>
      </c>
      <c r="B286" s="3">
        <v>2007</v>
      </c>
      <c r="C286" s="3">
        <v>2018</v>
      </c>
      <c r="D286" s="3">
        <f>(C286-B286)</f>
        <v>11</v>
      </c>
      <c r="E286" s="4">
        <v>222</v>
      </c>
      <c r="F286" s="4">
        <v>232</v>
      </c>
      <c r="G286" s="5">
        <f t="shared" si="12"/>
        <v>10</v>
      </c>
      <c r="H286" s="6">
        <f t="shared" si="13"/>
        <v>4</v>
      </c>
      <c r="I286" s="6">
        <f t="shared" si="14"/>
        <v>0</v>
      </c>
    </row>
    <row r="287" spans="1:9" ht="14.25" customHeight="1" x14ac:dyDescent="0.35">
      <c r="A287" s="2" t="s">
        <v>269</v>
      </c>
      <c r="B287" s="3">
        <v>2017</v>
      </c>
      <c r="C287" s="3">
        <v>2018</v>
      </c>
      <c r="D287" s="3">
        <f>(C287-B287)</f>
        <v>1</v>
      </c>
      <c r="E287" s="4">
        <v>429</v>
      </c>
      <c r="F287" s="4">
        <v>520</v>
      </c>
      <c r="G287" s="5">
        <f t="shared" si="12"/>
        <v>91</v>
      </c>
      <c r="H287" s="6">
        <f t="shared" si="13"/>
        <v>21</v>
      </c>
      <c r="I287" s="6">
        <f t="shared" si="14"/>
        <v>21</v>
      </c>
    </row>
    <row r="288" spans="1:9" ht="14.25" customHeight="1" x14ac:dyDescent="0.35">
      <c r="A288" s="2" t="s">
        <v>355</v>
      </c>
      <c r="B288" s="3">
        <v>2010</v>
      </c>
      <c r="C288" s="3">
        <v>2018</v>
      </c>
      <c r="D288" s="3">
        <f>(C288-B288)</f>
        <v>8</v>
      </c>
      <c r="E288" s="4">
        <v>36</v>
      </c>
      <c r="F288" s="4">
        <v>123</v>
      </c>
      <c r="G288" s="5">
        <f t="shared" si="12"/>
        <v>87</v>
      </c>
      <c r="H288" s="6">
        <f t="shared" si="13"/>
        <v>241</v>
      </c>
      <c r="I288" s="6">
        <f t="shared" si="14"/>
        <v>30</v>
      </c>
    </row>
    <row r="289" spans="1:9" ht="14.25" customHeight="1" x14ac:dyDescent="0.35">
      <c r="A289" s="2" t="s">
        <v>462</v>
      </c>
      <c r="B289" s="3">
        <v>2015</v>
      </c>
      <c r="C289" s="3">
        <v>2018</v>
      </c>
      <c r="D289" s="3">
        <f>(C289-B289)</f>
        <v>3</v>
      </c>
      <c r="E289" s="4">
        <v>166</v>
      </c>
      <c r="F289" s="4">
        <v>120</v>
      </c>
      <c r="G289" s="5">
        <f t="shared" si="12"/>
        <v>-46</v>
      </c>
      <c r="H289" s="6">
        <f t="shared" si="13"/>
        <v>-28</v>
      </c>
      <c r="I289" s="6">
        <f t="shared" si="14"/>
        <v>-10</v>
      </c>
    </row>
    <row r="290" spans="1:9" ht="14.25" customHeight="1" x14ac:dyDescent="0.35">
      <c r="A290" s="2" t="s">
        <v>124</v>
      </c>
      <c r="B290" s="3">
        <v>2002</v>
      </c>
      <c r="C290" s="3">
        <v>2018</v>
      </c>
      <c r="D290" s="3">
        <f>(C290-B290)</f>
        <v>16</v>
      </c>
      <c r="E290" s="4">
        <v>4</v>
      </c>
      <c r="F290" s="4">
        <v>354</v>
      </c>
      <c r="G290" s="5">
        <f t="shared" si="12"/>
        <v>350</v>
      </c>
      <c r="H290" s="6">
        <f t="shared" si="13"/>
        <v>8750</v>
      </c>
      <c r="I290" s="6">
        <f t="shared" si="14"/>
        <v>546</v>
      </c>
    </row>
    <row r="291" spans="1:9" ht="14.25" customHeight="1" x14ac:dyDescent="0.35">
      <c r="A291" s="2" t="s">
        <v>99</v>
      </c>
      <c r="B291" s="3">
        <v>2003</v>
      </c>
      <c r="C291" s="3">
        <v>2018</v>
      </c>
      <c r="D291" s="3">
        <f>(C291-B291)</f>
        <v>15</v>
      </c>
      <c r="E291" s="4">
        <v>173</v>
      </c>
      <c r="F291" s="4">
        <v>7000</v>
      </c>
      <c r="G291" s="5">
        <f t="shared" si="12"/>
        <v>6827</v>
      </c>
      <c r="H291" s="6">
        <f t="shared" si="13"/>
        <v>3946</v>
      </c>
      <c r="I291" s="6">
        <f t="shared" si="14"/>
        <v>263</v>
      </c>
    </row>
    <row r="292" spans="1:9" ht="14.25" customHeight="1" x14ac:dyDescent="0.35">
      <c r="A292" s="2" t="s">
        <v>481</v>
      </c>
      <c r="B292" s="3">
        <v>2017</v>
      </c>
      <c r="C292" s="3">
        <v>2018</v>
      </c>
      <c r="D292" s="3">
        <f>(C292-B292)</f>
        <v>1</v>
      </c>
      <c r="E292" s="4">
        <v>660</v>
      </c>
      <c r="F292" s="4">
        <v>590</v>
      </c>
      <c r="G292" s="5">
        <f t="shared" si="12"/>
        <v>-70</v>
      </c>
      <c r="H292" s="6">
        <f t="shared" si="13"/>
        <v>-11</v>
      </c>
      <c r="I292" s="6">
        <f t="shared" si="14"/>
        <v>-11</v>
      </c>
    </row>
    <row r="293" spans="1:9" ht="14.25" customHeight="1" x14ac:dyDescent="0.35">
      <c r="A293" s="2" t="s">
        <v>476</v>
      </c>
      <c r="B293" s="3">
        <v>2016</v>
      </c>
      <c r="C293" s="3">
        <v>2018</v>
      </c>
      <c r="D293" s="3">
        <f>(C293-B293)</f>
        <v>2</v>
      </c>
      <c r="E293" s="4">
        <v>162</v>
      </c>
      <c r="F293" s="4">
        <v>70</v>
      </c>
      <c r="G293" s="5">
        <f t="shared" si="12"/>
        <v>-92</v>
      </c>
      <c r="H293" s="6">
        <f t="shared" si="13"/>
        <v>-57</v>
      </c>
      <c r="I293" s="6">
        <f t="shared" si="14"/>
        <v>-29</v>
      </c>
    </row>
    <row r="294" spans="1:9" ht="14.25" customHeight="1" x14ac:dyDescent="0.35">
      <c r="A294" s="2" t="s">
        <v>139</v>
      </c>
      <c r="B294" s="3">
        <v>2002</v>
      </c>
      <c r="C294" s="3">
        <v>2018</v>
      </c>
      <c r="D294" s="3">
        <f>(C294-B294)</f>
        <v>16</v>
      </c>
      <c r="E294" s="4">
        <v>12</v>
      </c>
      <c r="F294" s="4">
        <v>540</v>
      </c>
      <c r="G294" s="5">
        <f t="shared" si="12"/>
        <v>528</v>
      </c>
      <c r="H294" s="6">
        <f t="shared" si="13"/>
        <v>4400</v>
      </c>
      <c r="I294" s="6">
        <f t="shared" si="14"/>
        <v>275</v>
      </c>
    </row>
    <row r="295" spans="1:9" ht="14.25" customHeight="1" x14ac:dyDescent="0.35">
      <c r="A295" s="2" t="s">
        <v>411</v>
      </c>
      <c r="B295" s="3">
        <v>2005</v>
      </c>
      <c r="C295" s="3">
        <v>2018</v>
      </c>
      <c r="D295" s="3">
        <f>(C295-B295)</f>
        <v>13</v>
      </c>
      <c r="E295" s="4">
        <v>50</v>
      </c>
      <c r="F295" s="4">
        <v>88</v>
      </c>
      <c r="G295" s="5">
        <f t="shared" si="12"/>
        <v>38</v>
      </c>
      <c r="H295" s="6">
        <f t="shared" si="13"/>
        <v>76</v>
      </c>
      <c r="I295" s="6">
        <f t="shared" si="14"/>
        <v>5</v>
      </c>
    </row>
    <row r="296" spans="1:9" ht="14.25" customHeight="1" x14ac:dyDescent="0.35">
      <c r="A296" s="2" t="s">
        <v>254</v>
      </c>
      <c r="B296" s="3">
        <v>2002</v>
      </c>
      <c r="C296" s="3">
        <v>2018</v>
      </c>
      <c r="D296" s="3">
        <f>(C296-B296)</f>
        <v>16</v>
      </c>
      <c r="E296" s="4">
        <v>300</v>
      </c>
      <c r="F296" s="4">
        <v>3800</v>
      </c>
      <c r="G296" s="5">
        <f t="shared" si="12"/>
        <v>3500</v>
      </c>
      <c r="H296" s="6">
        <f t="shared" si="13"/>
        <v>1166</v>
      </c>
      <c r="I296" s="6">
        <f t="shared" si="14"/>
        <v>72</v>
      </c>
    </row>
    <row r="297" spans="1:9" ht="14.25" customHeight="1" x14ac:dyDescent="0.35">
      <c r="A297" s="2" t="s">
        <v>320</v>
      </c>
      <c r="B297" s="3">
        <v>2000</v>
      </c>
      <c r="C297" s="3">
        <v>2018</v>
      </c>
      <c r="D297" s="3">
        <f>(C297-B297)</f>
        <v>18</v>
      </c>
      <c r="E297" s="4">
        <v>38</v>
      </c>
      <c r="F297" s="4">
        <v>440</v>
      </c>
      <c r="G297" s="5">
        <f t="shared" si="12"/>
        <v>402</v>
      </c>
      <c r="H297" s="6">
        <f t="shared" si="13"/>
        <v>1057</v>
      </c>
      <c r="I297" s="6">
        <f t="shared" si="14"/>
        <v>58</v>
      </c>
    </row>
    <row r="298" spans="1:9" ht="14.25" customHeight="1" x14ac:dyDescent="0.35">
      <c r="A298" s="2" t="s">
        <v>251</v>
      </c>
      <c r="B298" s="3">
        <v>2016</v>
      </c>
      <c r="C298" s="3">
        <v>2018</v>
      </c>
      <c r="D298" s="3">
        <f>(C298-B298)</f>
        <v>2</v>
      </c>
      <c r="E298" s="4">
        <v>520</v>
      </c>
      <c r="F298" s="4">
        <v>1004</v>
      </c>
      <c r="G298" s="5">
        <f t="shared" si="12"/>
        <v>484</v>
      </c>
      <c r="H298" s="6">
        <f t="shared" si="13"/>
        <v>93</v>
      </c>
      <c r="I298" s="6">
        <f t="shared" si="14"/>
        <v>46</v>
      </c>
    </row>
    <row r="299" spans="1:9" ht="14.25" customHeight="1" x14ac:dyDescent="0.35">
      <c r="A299" s="2" t="s">
        <v>417</v>
      </c>
      <c r="B299" s="3">
        <v>2009</v>
      </c>
      <c r="C299" s="3">
        <v>2018</v>
      </c>
      <c r="D299" s="3">
        <f>(C299-B299)</f>
        <v>9</v>
      </c>
      <c r="E299" s="4">
        <v>232</v>
      </c>
      <c r="F299" s="4">
        <v>241</v>
      </c>
      <c r="G299" s="5">
        <f t="shared" si="12"/>
        <v>9</v>
      </c>
      <c r="H299" s="6">
        <f t="shared" si="13"/>
        <v>3</v>
      </c>
      <c r="I299" s="6">
        <f t="shared" si="14"/>
        <v>0</v>
      </c>
    </row>
    <row r="300" spans="1:9" ht="14.25" customHeight="1" x14ac:dyDescent="0.35">
      <c r="A300" s="2" t="s">
        <v>201</v>
      </c>
      <c r="B300" s="3">
        <v>2012</v>
      </c>
      <c r="C300" s="3">
        <v>2018</v>
      </c>
      <c r="D300" s="3">
        <f>(C300-B300)</f>
        <v>6</v>
      </c>
      <c r="E300" s="4">
        <v>7</v>
      </c>
      <c r="F300" s="4">
        <v>138</v>
      </c>
      <c r="G300" s="5">
        <f t="shared" si="12"/>
        <v>131</v>
      </c>
      <c r="H300" s="6">
        <f t="shared" si="13"/>
        <v>1871</v>
      </c>
      <c r="I300" s="6">
        <f t="shared" si="14"/>
        <v>311</v>
      </c>
    </row>
    <row r="301" spans="1:9" ht="14.25" customHeight="1" x14ac:dyDescent="0.35">
      <c r="A301" s="2" t="s">
        <v>212</v>
      </c>
      <c r="B301" s="3">
        <v>2007</v>
      </c>
      <c r="C301" s="3">
        <v>2018</v>
      </c>
      <c r="D301" s="3">
        <f>(C301-B301)</f>
        <v>11</v>
      </c>
      <c r="E301" s="4">
        <v>12</v>
      </c>
      <c r="F301" s="4">
        <v>342</v>
      </c>
      <c r="G301" s="5">
        <f t="shared" si="12"/>
        <v>330</v>
      </c>
      <c r="H301" s="6">
        <f t="shared" si="13"/>
        <v>2750</v>
      </c>
      <c r="I301" s="6">
        <f t="shared" si="14"/>
        <v>250</v>
      </c>
    </row>
    <row r="302" spans="1:9" ht="14.25" customHeight="1" x14ac:dyDescent="0.35">
      <c r="A302" s="2" t="s">
        <v>101</v>
      </c>
      <c r="B302" s="3">
        <v>2007</v>
      </c>
      <c r="C302" s="3">
        <v>2018</v>
      </c>
      <c r="D302" s="3">
        <f>(C302-B302)</f>
        <v>11</v>
      </c>
      <c r="E302" s="4">
        <v>163</v>
      </c>
      <c r="F302" s="4">
        <v>942</v>
      </c>
      <c r="G302" s="5">
        <f t="shared" si="12"/>
        <v>779</v>
      </c>
      <c r="H302" s="6">
        <f t="shared" si="13"/>
        <v>477</v>
      </c>
      <c r="I302" s="6">
        <f t="shared" si="14"/>
        <v>43</v>
      </c>
    </row>
    <row r="303" spans="1:9" ht="14.25" customHeight="1" x14ac:dyDescent="0.35">
      <c r="A303" s="2" t="s">
        <v>490</v>
      </c>
      <c r="B303" s="3">
        <v>2010</v>
      </c>
      <c r="C303" s="3">
        <v>2018</v>
      </c>
      <c r="D303" s="3">
        <f>(C303-B303)</f>
        <v>8</v>
      </c>
      <c r="E303" s="4">
        <v>1176</v>
      </c>
      <c r="F303" s="4">
        <v>28</v>
      </c>
      <c r="G303" s="5">
        <f t="shared" si="12"/>
        <v>-1148</v>
      </c>
      <c r="H303" s="6">
        <f t="shared" si="13"/>
        <v>-98</v>
      </c>
      <c r="I303" s="6">
        <f t="shared" si="14"/>
        <v>-13</v>
      </c>
    </row>
    <row r="304" spans="1:9" ht="14.25" customHeight="1" x14ac:dyDescent="0.35">
      <c r="A304" s="2" t="s">
        <v>456</v>
      </c>
      <c r="B304" s="3">
        <v>2010</v>
      </c>
      <c r="C304" s="3">
        <v>2018</v>
      </c>
      <c r="D304" s="3">
        <f>(C304-B304)</f>
        <v>8</v>
      </c>
      <c r="E304" s="4">
        <v>230</v>
      </c>
      <c r="F304" s="4">
        <v>162</v>
      </c>
      <c r="G304" s="5">
        <f t="shared" si="12"/>
        <v>-68</v>
      </c>
      <c r="H304" s="6">
        <f t="shared" si="13"/>
        <v>-30</v>
      </c>
      <c r="I304" s="6">
        <f t="shared" si="14"/>
        <v>-4</v>
      </c>
    </row>
    <row r="305" spans="1:9" ht="14.25" customHeight="1" x14ac:dyDescent="0.35">
      <c r="A305" s="2" t="s">
        <v>259</v>
      </c>
      <c r="B305" s="3">
        <v>2002</v>
      </c>
      <c r="C305" s="3">
        <v>2018</v>
      </c>
      <c r="D305" s="3">
        <f>(C305-B305)</f>
        <v>16</v>
      </c>
      <c r="E305" s="4">
        <v>268</v>
      </c>
      <c r="F305" s="4">
        <v>2590</v>
      </c>
      <c r="G305" s="5">
        <f t="shared" si="12"/>
        <v>2322</v>
      </c>
      <c r="H305" s="6">
        <f t="shared" si="13"/>
        <v>866</v>
      </c>
      <c r="I305" s="6">
        <f t="shared" si="14"/>
        <v>54</v>
      </c>
    </row>
    <row r="306" spans="1:9" ht="14.25" customHeight="1" x14ac:dyDescent="0.35">
      <c r="A306" s="2" t="s">
        <v>144</v>
      </c>
      <c r="B306" s="3">
        <v>2002</v>
      </c>
      <c r="C306" s="3">
        <v>2018</v>
      </c>
      <c r="D306" s="3">
        <f>(C306-B306)</f>
        <v>16</v>
      </c>
      <c r="E306" s="4">
        <v>1</v>
      </c>
      <c r="F306" s="4">
        <v>153</v>
      </c>
      <c r="G306" s="5">
        <f t="shared" si="12"/>
        <v>152</v>
      </c>
      <c r="H306" s="6">
        <f t="shared" si="13"/>
        <v>15200</v>
      </c>
      <c r="I306" s="6">
        <f t="shared" si="14"/>
        <v>950</v>
      </c>
    </row>
    <row r="307" spans="1:9" ht="14.25" customHeight="1" x14ac:dyDescent="0.35">
      <c r="A307" s="2" t="s">
        <v>297</v>
      </c>
      <c r="B307" s="3">
        <v>2007</v>
      </c>
      <c r="C307" s="3">
        <v>2018</v>
      </c>
      <c r="D307" s="3">
        <f>(C307-B307)</f>
        <v>11</v>
      </c>
      <c r="E307" s="4">
        <v>195</v>
      </c>
      <c r="F307" s="4">
        <v>616</v>
      </c>
      <c r="G307" s="5">
        <f t="shared" si="12"/>
        <v>421</v>
      </c>
      <c r="H307" s="6">
        <f t="shared" si="13"/>
        <v>215</v>
      </c>
      <c r="I307" s="6">
        <f t="shared" si="14"/>
        <v>19</v>
      </c>
    </row>
    <row r="308" spans="1:9" ht="14.25" customHeight="1" x14ac:dyDescent="0.35">
      <c r="A308" s="2" t="s">
        <v>211</v>
      </c>
      <c r="B308" s="3">
        <v>2001</v>
      </c>
      <c r="C308" s="3">
        <v>2018</v>
      </c>
      <c r="D308" s="3">
        <f>(C308-B308)</f>
        <v>17</v>
      </c>
      <c r="E308" s="4">
        <v>22</v>
      </c>
      <c r="F308" s="4">
        <v>982</v>
      </c>
      <c r="G308" s="5">
        <f t="shared" si="12"/>
        <v>960</v>
      </c>
      <c r="H308" s="6">
        <f t="shared" si="13"/>
        <v>4363</v>
      </c>
      <c r="I308" s="6">
        <f t="shared" si="14"/>
        <v>256</v>
      </c>
    </row>
    <row r="309" spans="1:9" ht="14.25" customHeight="1" x14ac:dyDescent="0.35">
      <c r="A309" s="2" t="s">
        <v>94</v>
      </c>
      <c r="B309" s="3">
        <v>2002</v>
      </c>
      <c r="C309" s="3">
        <v>2018</v>
      </c>
      <c r="D309" s="3">
        <f>(C309-B309)</f>
        <v>16</v>
      </c>
      <c r="E309" s="4">
        <v>927</v>
      </c>
      <c r="F309" s="4">
        <v>61000</v>
      </c>
      <c r="G309" s="5">
        <f t="shared" si="12"/>
        <v>60073</v>
      </c>
      <c r="H309" s="6">
        <f t="shared" si="13"/>
        <v>6480</v>
      </c>
      <c r="I309" s="6">
        <f t="shared" si="14"/>
        <v>405</v>
      </c>
    </row>
    <row r="310" spans="1:9" ht="14.25" customHeight="1" x14ac:dyDescent="0.35">
      <c r="A310" s="2" t="s">
        <v>104</v>
      </c>
      <c r="B310" s="3">
        <v>2002</v>
      </c>
      <c r="C310" s="3">
        <v>2018</v>
      </c>
      <c r="D310" s="3">
        <f>(C310-B310)</f>
        <v>16</v>
      </c>
      <c r="E310" s="4">
        <v>11</v>
      </c>
      <c r="F310" s="4">
        <v>73</v>
      </c>
      <c r="G310" s="5">
        <f t="shared" si="12"/>
        <v>62</v>
      </c>
      <c r="H310" s="6">
        <f t="shared" si="13"/>
        <v>563</v>
      </c>
      <c r="I310" s="6">
        <f t="shared" si="14"/>
        <v>35</v>
      </c>
    </row>
    <row r="311" spans="1:9" ht="14.25" customHeight="1" x14ac:dyDescent="0.35">
      <c r="A311" s="2" t="s">
        <v>24</v>
      </c>
      <c r="B311" s="3">
        <v>2011</v>
      </c>
      <c r="C311" s="3">
        <v>2018</v>
      </c>
      <c r="D311" s="3">
        <f>(C311-B311)</f>
        <v>7</v>
      </c>
      <c r="E311" s="4">
        <v>176</v>
      </c>
      <c r="F311" s="4">
        <v>623</v>
      </c>
      <c r="G311" s="5">
        <f t="shared" si="12"/>
        <v>447</v>
      </c>
      <c r="H311" s="6">
        <f t="shared" si="13"/>
        <v>253</v>
      </c>
      <c r="I311" s="6">
        <f t="shared" si="14"/>
        <v>36</v>
      </c>
    </row>
    <row r="312" spans="1:9" ht="14.25" customHeight="1" x14ac:dyDescent="0.35">
      <c r="A312" s="2" t="s">
        <v>167</v>
      </c>
      <c r="B312" s="3">
        <v>2002</v>
      </c>
      <c r="C312" s="3">
        <v>2018</v>
      </c>
      <c r="D312" s="3">
        <f>(C312-B312)</f>
        <v>16</v>
      </c>
      <c r="E312" s="4">
        <v>4</v>
      </c>
      <c r="F312" s="4">
        <v>566</v>
      </c>
      <c r="G312" s="5">
        <f t="shared" si="12"/>
        <v>562</v>
      </c>
      <c r="H312" s="6">
        <f t="shared" si="13"/>
        <v>14050</v>
      </c>
      <c r="I312" s="6">
        <f t="shared" si="14"/>
        <v>878</v>
      </c>
    </row>
    <row r="313" spans="1:9" ht="14.25" customHeight="1" x14ac:dyDescent="0.35">
      <c r="A313" s="2" t="s">
        <v>33</v>
      </c>
      <c r="B313" s="3">
        <v>2002</v>
      </c>
      <c r="C313" s="3">
        <v>2018</v>
      </c>
      <c r="D313" s="3">
        <f>(C313-B313)</f>
        <v>16</v>
      </c>
      <c r="E313" s="4">
        <v>24</v>
      </c>
      <c r="F313" s="4">
        <v>56</v>
      </c>
      <c r="G313" s="5">
        <f t="shared" si="12"/>
        <v>32</v>
      </c>
      <c r="H313" s="6">
        <f t="shared" si="13"/>
        <v>133</v>
      </c>
      <c r="I313" s="6">
        <f t="shared" si="14"/>
        <v>8</v>
      </c>
    </row>
    <row r="314" spans="1:9" ht="14.25" customHeight="1" x14ac:dyDescent="0.35">
      <c r="A314" s="2" t="s">
        <v>260</v>
      </c>
      <c r="B314" s="3">
        <v>2006</v>
      </c>
      <c r="C314" s="3">
        <v>2018</v>
      </c>
      <c r="D314" s="3">
        <f>(C314-B314)</f>
        <v>12</v>
      </c>
      <c r="E314" s="4">
        <v>146</v>
      </c>
      <c r="F314" s="4">
        <v>1860</v>
      </c>
      <c r="G314" s="5">
        <f t="shared" si="12"/>
        <v>1714</v>
      </c>
      <c r="H314" s="6">
        <f t="shared" si="13"/>
        <v>1173</v>
      </c>
      <c r="I314" s="6">
        <f t="shared" si="14"/>
        <v>97</v>
      </c>
    </row>
    <row r="315" spans="1:9" ht="14.25" customHeight="1" x14ac:dyDescent="0.35">
      <c r="A315" s="2" t="s">
        <v>279</v>
      </c>
      <c r="B315" s="3">
        <v>2007</v>
      </c>
      <c r="C315" s="3">
        <v>2018</v>
      </c>
      <c r="D315" s="3">
        <f>(C315-B315)</f>
        <v>11</v>
      </c>
      <c r="E315" s="4">
        <v>64</v>
      </c>
      <c r="F315" s="4">
        <v>765</v>
      </c>
      <c r="G315" s="5">
        <f t="shared" si="12"/>
        <v>701</v>
      </c>
      <c r="H315" s="6">
        <f t="shared" si="13"/>
        <v>1095</v>
      </c>
      <c r="I315" s="6">
        <f t="shared" si="14"/>
        <v>99</v>
      </c>
    </row>
    <row r="316" spans="1:9" ht="14.25" customHeight="1" x14ac:dyDescent="0.35">
      <c r="A316" s="2" t="s">
        <v>473</v>
      </c>
      <c r="B316" s="3">
        <v>2015</v>
      </c>
      <c r="C316" s="3">
        <v>2018</v>
      </c>
      <c r="D316" s="3">
        <f>(C316-B316)</f>
        <v>3</v>
      </c>
      <c r="E316" s="4">
        <v>163</v>
      </c>
      <c r="F316" s="4">
        <v>38</v>
      </c>
      <c r="G316" s="5">
        <f t="shared" si="12"/>
        <v>-125</v>
      </c>
      <c r="H316" s="6">
        <f t="shared" si="13"/>
        <v>-77</v>
      </c>
      <c r="I316" s="6">
        <f t="shared" si="14"/>
        <v>-26</v>
      </c>
    </row>
    <row r="317" spans="1:9" ht="14.25" customHeight="1" x14ac:dyDescent="0.35">
      <c r="A317" s="2" t="s">
        <v>41</v>
      </c>
      <c r="B317" s="3">
        <v>2012</v>
      </c>
      <c r="C317" s="3">
        <v>2018</v>
      </c>
      <c r="D317" s="3">
        <f>(C317-B317)</f>
        <v>6</v>
      </c>
      <c r="E317" s="4">
        <v>6</v>
      </c>
      <c r="F317" s="4">
        <v>66</v>
      </c>
      <c r="G317" s="5">
        <f t="shared" si="12"/>
        <v>60</v>
      </c>
      <c r="H317" s="6">
        <f t="shared" si="13"/>
        <v>1000</v>
      </c>
      <c r="I317" s="6">
        <f t="shared" si="14"/>
        <v>166</v>
      </c>
    </row>
    <row r="318" spans="1:9" ht="14.25" customHeight="1" x14ac:dyDescent="0.35">
      <c r="A318" s="2" t="s">
        <v>218</v>
      </c>
      <c r="B318" s="3">
        <v>2002</v>
      </c>
      <c r="C318" s="3">
        <v>2018</v>
      </c>
      <c r="D318" s="3">
        <f>(C318-B318)</f>
        <v>16</v>
      </c>
      <c r="E318" s="4">
        <v>3</v>
      </c>
      <c r="F318" s="4">
        <v>107</v>
      </c>
      <c r="G318" s="5">
        <f t="shared" si="12"/>
        <v>104</v>
      </c>
      <c r="H318" s="6">
        <f t="shared" si="13"/>
        <v>3466</v>
      </c>
      <c r="I318" s="6">
        <f t="shared" si="14"/>
        <v>216</v>
      </c>
    </row>
    <row r="319" spans="1:9" ht="14.25" customHeight="1" x14ac:dyDescent="0.35">
      <c r="A319" s="2" t="s">
        <v>242</v>
      </c>
      <c r="B319" s="3">
        <v>2003</v>
      </c>
      <c r="C319" s="3">
        <v>2018</v>
      </c>
      <c r="D319" s="3">
        <f>(C319-B319)</f>
        <v>15</v>
      </c>
      <c r="E319" s="4">
        <v>5</v>
      </c>
      <c r="F319" s="4">
        <v>109</v>
      </c>
      <c r="G319" s="5">
        <f t="shared" si="12"/>
        <v>104</v>
      </c>
      <c r="H319" s="6">
        <f t="shared" si="13"/>
        <v>2080</v>
      </c>
      <c r="I319" s="6">
        <f t="shared" si="14"/>
        <v>138</v>
      </c>
    </row>
    <row r="320" spans="1:9" ht="14.25" customHeight="1" x14ac:dyDescent="0.35">
      <c r="A320" s="2" t="s">
        <v>298</v>
      </c>
      <c r="B320" s="3">
        <v>2008</v>
      </c>
      <c r="C320" s="3">
        <v>2018</v>
      </c>
      <c r="D320" s="3">
        <f>(C320-B320)</f>
        <v>10</v>
      </c>
      <c r="E320" s="4">
        <v>119</v>
      </c>
      <c r="F320" s="4">
        <v>498</v>
      </c>
      <c r="G320" s="5">
        <f t="shared" si="12"/>
        <v>379</v>
      </c>
      <c r="H320" s="6">
        <f t="shared" si="13"/>
        <v>318</v>
      </c>
      <c r="I320" s="6">
        <f t="shared" si="14"/>
        <v>31</v>
      </c>
    </row>
    <row r="321" spans="1:9" ht="14.25" customHeight="1" x14ac:dyDescent="0.35">
      <c r="A321" s="2" t="s">
        <v>467</v>
      </c>
      <c r="B321" s="3">
        <v>2007</v>
      </c>
      <c r="C321" s="3">
        <v>2018</v>
      </c>
      <c r="D321" s="3">
        <f>(C321-B321)</f>
        <v>11</v>
      </c>
      <c r="E321" s="4">
        <v>322</v>
      </c>
      <c r="F321" s="4">
        <v>36</v>
      </c>
      <c r="G321" s="5">
        <f t="shared" si="12"/>
        <v>-286</v>
      </c>
      <c r="H321" s="6">
        <f t="shared" si="13"/>
        <v>-89</v>
      </c>
      <c r="I321" s="6">
        <f t="shared" si="14"/>
        <v>-9</v>
      </c>
    </row>
    <row r="322" spans="1:9" ht="14.25" customHeight="1" x14ac:dyDescent="0.35">
      <c r="A322" s="2" t="s">
        <v>427</v>
      </c>
      <c r="B322" s="3">
        <v>2006</v>
      </c>
      <c r="C322" s="3">
        <v>2018</v>
      </c>
      <c r="D322" s="3">
        <f>(C322-B322)</f>
        <v>12</v>
      </c>
      <c r="E322" s="4">
        <v>31</v>
      </c>
      <c r="F322" s="4">
        <v>36</v>
      </c>
      <c r="G322" s="5">
        <f t="shared" si="12"/>
        <v>5</v>
      </c>
      <c r="H322" s="6">
        <f t="shared" si="13"/>
        <v>16</v>
      </c>
      <c r="I322" s="6">
        <f t="shared" si="14"/>
        <v>1</v>
      </c>
    </row>
    <row r="323" spans="1:9" ht="14.25" customHeight="1" x14ac:dyDescent="0.35">
      <c r="A323" s="2" t="s">
        <v>478</v>
      </c>
      <c r="B323" s="3">
        <v>2016</v>
      </c>
      <c r="C323" s="3">
        <v>2018</v>
      </c>
      <c r="D323" s="3">
        <f>(C323-B323)</f>
        <v>2</v>
      </c>
      <c r="E323" s="4">
        <v>327</v>
      </c>
      <c r="F323" s="4">
        <v>217</v>
      </c>
      <c r="G323" s="5">
        <f t="shared" ref="G323:G386" si="15">INT((F323-E323))</f>
        <v>-110</v>
      </c>
      <c r="H323" s="6">
        <f t="shared" ref="H323:H386" si="16">INT(G323*100/E323)</f>
        <v>-34</v>
      </c>
      <c r="I323" s="6">
        <f t="shared" ref="I323:I386" si="17">INT(H323/D323)</f>
        <v>-17</v>
      </c>
    </row>
    <row r="324" spans="1:9" ht="14.25" customHeight="1" x14ac:dyDescent="0.35">
      <c r="A324" s="2" t="s">
        <v>115</v>
      </c>
      <c r="B324" s="3">
        <v>2009</v>
      </c>
      <c r="C324" s="3">
        <v>2018</v>
      </c>
      <c r="D324" s="3">
        <f>(C324-B324)</f>
        <v>9</v>
      </c>
      <c r="E324" s="4">
        <v>35</v>
      </c>
      <c r="F324" s="4">
        <v>25</v>
      </c>
      <c r="G324" s="5">
        <f t="shared" si="15"/>
        <v>-10</v>
      </c>
      <c r="H324" s="6">
        <f t="shared" si="16"/>
        <v>-29</v>
      </c>
      <c r="I324" s="6">
        <f t="shared" si="17"/>
        <v>-4</v>
      </c>
    </row>
    <row r="325" spans="1:9" ht="14.25" customHeight="1" x14ac:dyDescent="0.35">
      <c r="A325" s="2" t="s">
        <v>494</v>
      </c>
      <c r="B325" s="3">
        <v>2017</v>
      </c>
      <c r="C325" s="3">
        <v>2018</v>
      </c>
      <c r="D325" s="3">
        <f>(C325-B325)</f>
        <v>1</v>
      </c>
      <c r="E325" s="4">
        <v>675</v>
      </c>
      <c r="F325" s="4">
        <v>190</v>
      </c>
      <c r="G325" s="5">
        <f t="shared" si="15"/>
        <v>-485</v>
      </c>
      <c r="H325" s="6">
        <f t="shared" si="16"/>
        <v>-72</v>
      </c>
      <c r="I325" s="6">
        <f t="shared" si="17"/>
        <v>-72</v>
      </c>
    </row>
    <row r="326" spans="1:9" ht="14.25" customHeight="1" x14ac:dyDescent="0.35">
      <c r="A326" s="2" t="s">
        <v>271</v>
      </c>
      <c r="B326" s="3">
        <v>2004</v>
      </c>
      <c r="C326" s="3">
        <v>2018</v>
      </c>
      <c r="D326" s="3">
        <f>(C326-B326)</f>
        <v>14</v>
      </c>
      <c r="E326" s="4">
        <v>118</v>
      </c>
      <c r="F326" s="4">
        <v>1350</v>
      </c>
      <c r="G326" s="5">
        <f t="shared" si="15"/>
        <v>1232</v>
      </c>
      <c r="H326" s="6">
        <f t="shared" si="16"/>
        <v>1044</v>
      </c>
      <c r="I326" s="6">
        <f t="shared" si="17"/>
        <v>74</v>
      </c>
    </row>
    <row r="327" spans="1:9" ht="14.25" customHeight="1" x14ac:dyDescent="0.35">
      <c r="A327" s="2" t="s">
        <v>229</v>
      </c>
      <c r="B327" s="3">
        <v>1999</v>
      </c>
      <c r="C327" s="3">
        <v>2018</v>
      </c>
      <c r="D327" s="3">
        <f>(C327-B327)</f>
        <v>19</v>
      </c>
      <c r="E327" s="4">
        <v>40</v>
      </c>
      <c r="F327" s="4">
        <v>1425</v>
      </c>
      <c r="G327" s="5">
        <f t="shared" si="15"/>
        <v>1385</v>
      </c>
      <c r="H327" s="6">
        <f t="shared" si="16"/>
        <v>3462</v>
      </c>
      <c r="I327" s="6">
        <f t="shared" si="17"/>
        <v>182</v>
      </c>
    </row>
    <row r="328" spans="1:9" ht="14.25" customHeight="1" x14ac:dyDescent="0.35">
      <c r="A328" s="2" t="s">
        <v>412</v>
      </c>
      <c r="B328" s="3">
        <v>2002</v>
      </c>
      <c r="C328" s="3">
        <v>2018</v>
      </c>
      <c r="D328" s="3">
        <f>(C328-B328)</f>
        <v>16</v>
      </c>
      <c r="E328" s="4">
        <v>34</v>
      </c>
      <c r="F328" s="4">
        <v>68</v>
      </c>
      <c r="G328" s="5">
        <f t="shared" si="15"/>
        <v>34</v>
      </c>
      <c r="H328" s="6">
        <f t="shared" si="16"/>
        <v>100</v>
      </c>
      <c r="I328" s="6">
        <f t="shared" si="17"/>
        <v>6</v>
      </c>
    </row>
    <row r="329" spans="1:9" ht="14.25" customHeight="1" x14ac:dyDescent="0.35">
      <c r="A329" s="2" t="s">
        <v>147</v>
      </c>
      <c r="B329" s="3">
        <v>2008</v>
      </c>
      <c r="C329" s="3">
        <v>2018</v>
      </c>
      <c r="D329" s="3">
        <f>(C329-B329)</f>
        <v>10</v>
      </c>
      <c r="E329" s="4">
        <v>327</v>
      </c>
      <c r="F329" s="4">
        <v>105</v>
      </c>
      <c r="G329" s="5">
        <f t="shared" si="15"/>
        <v>-222</v>
      </c>
      <c r="H329" s="6">
        <f t="shared" si="16"/>
        <v>-68</v>
      </c>
      <c r="I329" s="6">
        <f t="shared" si="17"/>
        <v>-7</v>
      </c>
    </row>
    <row r="330" spans="1:9" ht="14.25" customHeight="1" x14ac:dyDescent="0.35">
      <c r="A330" s="2" t="s">
        <v>102</v>
      </c>
      <c r="B330" s="3">
        <v>2004</v>
      </c>
      <c r="C330" s="3">
        <v>2018</v>
      </c>
      <c r="D330" s="3">
        <f>(C330-B330)</f>
        <v>14</v>
      </c>
      <c r="E330" s="4">
        <v>64</v>
      </c>
      <c r="F330" s="4">
        <v>136</v>
      </c>
      <c r="G330" s="5">
        <f t="shared" si="15"/>
        <v>72</v>
      </c>
      <c r="H330" s="6">
        <f t="shared" si="16"/>
        <v>112</v>
      </c>
      <c r="I330" s="6">
        <f t="shared" si="17"/>
        <v>8</v>
      </c>
    </row>
    <row r="331" spans="1:9" ht="14.25" customHeight="1" x14ac:dyDescent="0.35">
      <c r="A331" s="2" t="s">
        <v>305</v>
      </c>
      <c r="B331" s="3">
        <v>2010</v>
      </c>
      <c r="C331" s="3">
        <v>2018</v>
      </c>
      <c r="D331" s="3">
        <f>(C331-B331)</f>
        <v>8</v>
      </c>
      <c r="E331" s="4">
        <v>295</v>
      </c>
      <c r="F331" s="4">
        <v>550</v>
      </c>
      <c r="G331" s="5">
        <f t="shared" si="15"/>
        <v>255</v>
      </c>
      <c r="H331" s="6">
        <f t="shared" si="16"/>
        <v>86</v>
      </c>
      <c r="I331" s="6">
        <f t="shared" si="17"/>
        <v>10</v>
      </c>
    </row>
    <row r="332" spans="1:9" ht="14.25" customHeight="1" x14ac:dyDescent="0.35">
      <c r="A332" s="2" t="s">
        <v>118</v>
      </c>
      <c r="B332" s="3">
        <v>2002</v>
      </c>
      <c r="C332" s="3">
        <v>2018</v>
      </c>
      <c r="D332" s="3">
        <f>(C332-B332)</f>
        <v>16</v>
      </c>
      <c r="E332" s="4">
        <v>267</v>
      </c>
      <c r="F332" s="4">
        <v>3425</v>
      </c>
      <c r="G332" s="5">
        <f t="shared" si="15"/>
        <v>3158</v>
      </c>
      <c r="H332" s="6">
        <f t="shared" si="16"/>
        <v>1182</v>
      </c>
      <c r="I332" s="6">
        <f t="shared" si="17"/>
        <v>73</v>
      </c>
    </row>
    <row r="333" spans="1:9" ht="14.25" customHeight="1" x14ac:dyDescent="0.35">
      <c r="A333" s="2" t="s">
        <v>85</v>
      </c>
      <c r="B333" s="3">
        <v>2009</v>
      </c>
      <c r="C333" s="3">
        <v>2018</v>
      </c>
      <c r="D333" s="3">
        <f>(C333-B333)</f>
        <v>9</v>
      </c>
      <c r="E333" s="4">
        <v>233</v>
      </c>
      <c r="F333" s="4">
        <v>184</v>
      </c>
      <c r="G333" s="5">
        <f t="shared" si="15"/>
        <v>-49</v>
      </c>
      <c r="H333" s="6">
        <f t="shared" si="16"/>
        <v>-22</v>
      </c>
      <c r="I333" s="6">
        <f t="shared" si="17"/>
        <v>-3</v>
      </c>
    </row>
    <row r="334" spans="1:9" ht="14.25" customHeight="1" x14ac:dyDescent="0.35">
      <c r="A334" s="2" t="s">
        <v>449</v>
      </c>
      <c r="B334" s="3">
        <v>2007</v>
      </c>
      <c r="C334" s="3">
        <v>2018</v>
      </c>
      <c r="D334" s="3">
        <f>(C334-B334)</f>
        <v>11</v>
      </c>
      <c r="E334" s="4">
        <v>275</v>
      </c>
      <c r="F334" s="4">
        <v>211</v>
      </c>
      <c r="G334" s="5">
        <f t="shared" si="15"/>
        <v>-64</v>
      </c>
      <c r="H334" s="6">
        <f t="shared" si="16"/>
        <v>-24</v>
      </c>
      <c r="I334" s="6">
        <f t="shared" si="17"/>
        <v>-3</v>
      </c>
    </row>
    <row r="335" spans="1:9" ht="14.25" customHeight="1" x14ac:dyDescent="0.35">
      <c r="A335" s="2" t="s">
        <v>105</v>
      </c>
      <c r="B335" s="3">
        <v>2002</v>
      </c>
      <c r="C335" s="3">
        <v>2018</v>
      </c>
      <c r="D335" s="3">
        <f>(C335-B335)</f>
        <v>16</v>
      </c>
      <c r="E335" s="4">
        <v>39</v>
      </c>
      <c r="F335" s="4">
        <v>157</v>
      </c>
      <c r="G335" s="5">
        <f t="shared" si="15"/>
        <v>118</v>
      </c>
      <c r="H335" s="6">
        <f t="shared" si="16"/>
        <v>302</v>
      </c>
      <c r="I335" s="6">
        <f t="shared" si="17"/>
        <v>18</v>
      </c>
    </row>
    <row r="336" spans="1:9" ht="14.25" customHeight="1" x14ac:dyDescent="0.35">
      <c r="A336" s="2" t="s">
        <v>398</v>
      </c>
      <c r="B336" s="3">
        <v>2002</v>
      </c>
      <c r="C336" s="3">
        <v>2018</v>
      </c>
      <c r="D336" s="3">
        <f>(C336-B336)</f>
        <v>16</v>
      </c>
      <c r="E336" s="4">
        <v>45</v>
      </c>
      <c r="F336" s="4">
        <v>113</v>
      </c>
      <c r="G336" s="5">
        <f t="shared" si="15"/>
        <v>68</v>
      </c>
      <c r="H336" s="6">
        <f t="shared" si="16"/>
        <v>151</v>
      </c>
      <c r="I336" s="6">
        <f t="shared" si="17"/>
        <v>9</v>
      </c>
    </row>
    <row r="337" spans="1:9" ht="14.25" customHeight="1" x14ac:dyDescent="0.35">
      <c r="A337" s="2" t="s">
        <v>385</v>
      </c>
      <c r="B337" s="3">
        <v>2013</v>
      </c>
      <c r="C337" s="3">
        <v>2018</v>
      </c>
      <c r="D337" s="3">
        <f>(C337-B337)</f>
        <v>5</v>
      </c>
      <c r="E337" s="4">
        <v>57</v>
      </c>
      <c r="F337" s="4">
        <v>85</v>
      </c>
      <c r="G337" s="5">
        <f t="shared" si="15"/>
        <v>28</v>
      </c>
      <c r="H337" s="6">
        <f t="shared" si="16"/>
        <v>49</v>
      </c>
      <c r="I337" s="6">
        <f t="shared" si="17"/>
        <v>9</v>
      </c>
    </row>
    <row r="338" spans="1:9" ht="14.25" customHeight="1" x14ac:dyDescent="0.35">
      <c r="A338" s="2" t="s">
        <v>145</v>
      </c>
      <c r="B338" s="3">
        <v>2007</v>
      </c>
      <c r="C338" s="3">
        <v>2018</v>
      </c>
      <c r="D338" s="3">
        <f>(C338-B338)</f>
        <v>11</v>
      </c>
      <c r="E338" s="4">
        <v>272</v>
      </c>
      <c r="F338" s="4">
        <v>25300</v>
      </c>
      <c r="G338" s="5">
        <f t="shared" si="15"/>
        <v>25028</v>
      </c>
      <c r="H338" s="6">
        <f t="shared" si="16"/>
        <v>9201</v>
      </c>
      <c r="I338" s="6">
        <f t="shared" si="17"/>
        <v>836</v>
      </c>
    </row>
    <row r="339" spans="1:9" ht="14.25" customHeight="1" x14ac:dyDescent="0.35">
      <c r="A339" s="2" t="s">
        <v>399</v>
      </c>
      <c r="B339" s="3">
        <v>2016</v>
      </c>
      <c r="C339" s="3">
        <v>2018</v>
      </c>
      <c r="D339" s="3">
        <f>(C339-B339)</f>
        <v>2</v>
      </c>
      <c r="E339" s="4">
        <v>245</v>
      </c>
      <c r="F339" s="4">
        <v>254</v>
      </c>
      <c r="G339" s="5">
        <f t="shared" si="15"/>
        <v>9</v>
      </c>
      <c r="H339" s="6">
        <f t="shared" si="16"/>
        <v>3</v>
      </c>
      <c r="I339" s="6">
        <f t="shared" si="17"/>
        <v>1</v>
      </c>
    </row>
    <row r="340" spans="1:9" ht="14.25" customHeight="1" x14ac:dyDescent="0.35">
      <c r="A340" s="2" t="s">
        <v>148</v>
      </c>
      <c r="B340" s="3">
        <v>2012</v>
      </c>
      <c r="C340" s="3">
        <v>2018</v>
      </c>
      <c r="D340" s="3">
        <f>(C340-B340)</f>
        <v>6</v>
      </c>
      <c r="E340" s="4">
        <v>73</v>
      </c>
      <c r="F340" s="4">
        <v>82</v>
      </c>
      <c r="G340" s="5">
        <f t="shared" si="15"/>
        <v>9</v>
      </c>
      <c r="H340" s="6">
        <f t="shared" si="16"/>
        <v>12</v>
      </c>
      <c r="I340" s="6">
        <f t="shared" si="17"/>
        <v>2</v>
      </c>
    </row>
    <row r="341" spans="1:9" ht="14.25" customHeight="1" x14ac:dyDescent="0.35">
      <c r="A341" s="2" t="s">
        <v>14</v>
      </c>
      <c r="B341" s="3">
        <v>2002</v>
      </c>
      <c r="C341" s="3">
        <v>2018</v>
      </c>
      <c r="D341" s="3">
        <f>(C341-B341)</f>
        <v>16</v>
      </c>
      <c r="E341" s="4">
        <v>53</v>
      </c>
      <c r="F341" s="4">
        <v>2605</v>
      </c>
      <c r="G341" s="5">
        <f t="shared" si="15"/>
        <v>2552</v>
      </c>
      <c r="H341" s="6">
        <f t="shared" si="16"/>
        <v>4815</v>
      </c>
      <c r="I341" s="6">
        <f t="shared" si="17"/>
        <v>300</v>
      </c>
    </row>
    <row r="342" spans="1:9" ht="14.25" customHeight="1" x14ac:dyDescent="0.35">
      <c r="A342" s="2" t="s">
        <v>284</v>
      </c>
      <c r="B342" s="3">
        <v>2010</v>
      </c>
      <c r="C342" s="3">
        <v>2018</v>
      </c>
      <c r="D342" s="3">
        <f>(C342-B342)</f>
        <v>8</v>
      </c>
      <c r="E342" s="4">
        <v>205</v>
      </c>
      <c r="F342" s="4">
        <v>630</v>
      </c>
      <c r="G342" s="5">
        <f t="shared" si="15"/>
        <v>425</v>
      </c>
      <c r="H342" s="6">
        <f t="shared" si="16"/>
        <v>207</v>
      </c>
      <c r="I342" s="6">
        <f t="shared" si="17"/>
        <v>25</v>
      </c>
    </row>
    <row r="343" spans="1:9" ht="14.25" customHeight="1" x14ac:dyDescent="0.35">
      <c r="A343" s="2" t="s">
        <v>38</v>
      </c>
      <c r="B343" s="3">
        <v>2004</v>
      </c>
      <c r="C343" s="3">
        <v>2018</v>
      </c>
      <c r="D343" s="3">
        <f>(C343-B343)</f>
        <v>14</v>
      </c>
      <c r="E343" s="4">
        <v>7</v>
      </c>
      <c r="F343" s="4">
        <v>244</v>
      </c>
      <c r="G343" s="5">
        <f t="shared" si="15"/>
        <v>237</v>
      </c>
      <c r="H343" s="6">
        <f t="shared" si="16"/>
        <v>3385</v>
      </c>
      <c r="I343" s="6">
        <f t="shared" si="17"/>
        <v>241</v>
      </c>
    </row>
    <row r="344" spans="1:9" ht="14.25" customHeight="1" x14ac:dyDescent="0.35">
      <c r="A344" s="2" t="s">
        <v>88</v>
      </c>
      <c r="B344" s="3">
        <v>2007</v>
      </c>
      <c r="C344" s="3">
        <v>2018</v>
      </c>
      <c r="D344" s="3">
        <f>(C344-B344)</f>
        <v>11</v>
      </c>
      <c r="E344" s="4">
        <v>56</v>
      </c>
      <c r="F344" s="4">
        <v>121</v>
      </c>
      <c r="G344" s="5">
        <f t="shared" si="15"/>
        <v>65</v>
      </c>
      <c r="H344" s="6">
        <f t="shared" si="16"/>
        <v>116</v>
      </c>
      <c r="I344" s="6">
        <f t="shared" si="17"/>
        <v>10</v>
      </c>
    </row>
    <row r="345" spans="1:9" ht="14.25" customHeight="1" x14ac:dyDescent="0.35">
      <c r="A345" s="2" t="s">
        <v>256</v>
      </c>
      <c r="B345" s="3">
        <v>2002</v>
      </c>
      <c r="C345" s="3">
        <v>2018</v>
      </c>
      <c r="D345" s="3">
        <f>(C345-B345)</f>
        <v>16</v>
      </c>
      <c r="E345" s="4">
        <v>430</v>
      </c>
      <c r="F345" s="4">
        <v>3300</v>
      </c>
      <c r="G345" s="5">
        <f t="shared" si="15"/>
        <v>2870</v>
      </c>
      <c r="H345" s="6">
        <f t="shared" si="16"/>
        <v>667</v>
      </c>
      <c r="I345" s="6">
        <f t="shared" si="17"/>
        <v>41</v>
      </c>
    </row>
    <row r="346" spans="1:9" ht="14.25" customHeight="1" x14ac:dyDescent="0.35">
      <c r="A346" s="2" t="s">
        <v>441</v>
      </c>
      <c r="B346" s="3">
        <v>2011</v>
      </c>
      <c r="C346" s="3">
        <v>2018</v>
      </c>
      <c r="D346" s="3">
        <f>(C346-B346)</f>
        <v>7</v>
      </c>
      <c r="E346" s="4">
        <v>24</v>
      </c>
      <c r="F346" s="4">
        <v>11</v>
      </c>
      <c r="G346" s="5">
        <f t="shared" si="15"/>
        <v>-13</v>
      </c>
      <c r="H346" s="6">
        <f t="shared" si="16"/>
        <v>-55</v>
      </c>
      <c r="I346" s="6">
        <f t="shared" si="17"/>
        <v>-8</v>
      </c>
    </row>
    <row r="347" spans="1:9" ht="14.25" customHeight="1" x14ac:dyDescent="0.35">
      <c r="A347" s="2" t="s">
        <v>32</v>
      </c>
      <c r="B347" s="3">
        <v>2004</v>
      </c>
      <c r="C347" s="3">
        <v>2018</v>
      </c>
      <c r="D347" s="3">
        <f>(C347-B347)</f>
        <v>14</v>
      </c>
      <c r="E347" s="4">
        <v>406</v>
      </c>
      <c r="F347" s="4">
        <v>10800</v>
      </c>
      <c r="G347" s="5">
        <f t="shared" si="15"/>
        <v>10394</v>
      </c>
      <c r="H347" s="6">
        <f t="shared" si="16"/>
        <v>2560</v>
      </c>
      <c r="I347" s="6">
        <f t="shared" si="17"/>
        <v>182</v>
      </c>
    </row>
    <row r="348" spans="1:9" ht="14.25" customHeight="1" x14ac:dyDescent="0.35">
      <c r="A348" s="2" t="s">
        <v>215</v>
      </c>
      <c r="B348" s="3">
        <v>2002</v>
      </c>
      <c r="C348" s="3">
        <v>2018</v>
      </c>
      <c r="D348" s="3">
        <f>(C348-B348)</f>
        <v>16</v>
      </c>
      <c r="E348" s="4">
        <v>5</v>
      </c>
      <c r="F348" s="4">
        <v>177</v>
      </c>
      <c r="G348" s="5">
        <f t="shared" si="15"/>
        <v>172</v>
      </c>
      <c r="H348" s="6">
        <f t="shared" si="16"/>
        <v>3440</v>
      </c>
      <c r="I348" s="6">
        <f t="shared" si="17"/>
        <v>215</v>
      </c>
    </row>
    <row r="349" spans="1:9" ht="14.25" customHeight="1" x14ac:dyDescent="0.35">
      <c r="A349" s="2" t="s">
        <v>306</v>
      </c>
      <c r="B349" s="3">
        <v>2007</v>
      </c>
      <c r="C349" s="3">
        <v>2018</v>
      </c>
      <c r="D349" s="3">
        <f>(C349-B349)</f>
        <v>11</v>
      </c>
      <c r="E349" s="4">
        <v>327</v>
      </c>
      <c r="F349" s="4">
        <v>663</v>
      </c>
      <c r="G349" s="5">
        <f t="shared" si="15"/>
        <v>336</v>
      </c>
      <c r="H349" s="6">
        <f t="shared" si="16"/>
        <v>102</v>
      </c>
      <c r="I349" s="6">
        <f t="shared" si="17"/>
        <v>9</v>
      </c>
    </row>
    <row r="350" spans="1:9" ht="14.25" customHeight="1" x14ac:dyDescent="0.35">
      <c r="A350" s="2" t="s">
        <v>67</v>
      </c>
      <c r="B350" s="3">
        <v>2002</v>
      </c>
      <c r="C350" s="3">
        <v>2018</v>
      </c>
      <c r="D350" s="3">
        <f>(C350-B350)</f>
        <v>16</v>
      </c>
      <c r="E350" s="4">
        <v>6</v>
      </c>
      <c r="F350" s="4">
        <v>1280</v>
      </c>
      <c r="G350" s="5">
        <f t="shared" si="15"/>
        <v>1274</v>
      </c>
      <c r="H350" s="6">
        <f t="shared" si="16"/>
        <v>21233</v>
      </c>
      <c r="I350" s="6">
        <f t="shared" si="17"/>
        <v>1327</v>
      </c>
    </row>
    <row r="351" spans="1:9" ht="14.25" customHeight="1" x14ac:dyDescent="0.35">
      <c r="A351" s="2" t="s">
        <v>226</v>
      </c>
      <c r="B351" s="3">
        <v>2011</v>
      </c>
      <c r="C351" s="3">
        <v>2018</v>
      </c>
      <c r="D351" s="3">
        <f>(C351-B351)</f>
        <v>7</v>
      </c>
      <c r="E351" s="4">
        <v>73</v>
      </c>
      <c r="F351" s="4">
        <v>1052</v>
      </c>
      <c r="G351" s="5">
        <f t="shared" si="15"/>
        <v>979</v>
      </c>
      <c r="H351" s="6">
        <f t="shared" si="16"/>
        <v>1341</v>
      </c>
      <c r="I351" s="6">
        <f t="shared" si="17"/>
        <v>191</v>
      </c>
    </row>
    <row r="352" spans="1:9" ht="14.25" customHeight="1" x14ac:dyDescent="0.35">
      <c r="A352" s="2" t="s">
        <v>127</v>
      </c>
      <c r="B352" s="3">
        <v>2002</v>
      </c>
      <c r="C352" s="3">
        <v>2018</v>
      </c>
      <c r="D352" s="3">
        <f>(C352-B352)</f>
        <v>16</v>
      </c>
      <c r="E352" s="4">
        <v>10</v>
      </c>
      <c r="F352" s="4">
        <v>100</v>
      </c>
      <c r="G352" s="5">
        <f t="shared" si="15"/>
        <v>90</v>
      </c>
      <c r="H352" s="6">
        <f t="shared" si="16"/>
        <v>900</v>
      </c>
      <c r="I352" s="6">
        <f t="shared" si="17"/>
        <v>56</v>
      </c>
    </row>
    <row r="353" spans="1:9" ht="14.25" customHeight="1" x14ac:dyDescent="0.35">
      <c r="A353" s="2" t="s">
        <v>453</v>
      </c>
      <c r="B353" s="3">
        <v>2016</v>
      </c>
      <c r="C353" s="3">
        <v>2018</v>
      </c>
      <c r="D353" s="3">
        <f>(C353-B353)</f>
        <v>2</v>
      </c>
      <c r="E353" s="4">
        <v>929</v>
      </c>
      <c r="F353" s="4">
        <v>915</v>
      </c>
      <c r="G353" s="5">
        <f t="shared" si="15"/>
        <v>-14</v>
      </c>
      <c r="H353" s="6">
        <f t="shared" si="16"/>
        <v>-2</v>
      </c>
      <c r="I353" s="6">
        <f t="shared" si="17"/>
        <v>-1</v>
      </c>
    </row>
    <row r="354" spans="1:9" ht="14.25" customHeight="1" x14ac:dyDescent="0.35">
      <c r="A354" s="2" t="s">
        <v>316</v>
      </c>
      <c r="B354" s="3">
        <v>2015</v>
      </c>
      <c r="C354" s="3">
        <v>2018</v>
      </c>
      <c r="D354" s="3">
        <f>(C354-B354)</f>
        <v>3</v>
      </c>
      <c r="E354" s="4">
        <v>75</v>
      </c>
      <c r="F354" s="4">
        <v>152</v>
      </c>
      <c r="G354" s="5">
        <f t="shared" si="15"/>
        <v>77</v>
      </c>
      <c r="H354" s="6">
        <f t="shared" si="16"/>
        <v>102</v>
      </c>
      <c r="I354" s="6">
        <f t="shared" si="17"/>
        <v>34</v>
      </c>
    </row>
    <row r="355" spans="1:9" ht="14.25" customHeight="1" x14ac:dyDescent="0.35">
      <c r="A355" s="2" t="s">
        <v>108</v>
      </c>
      <c r="B355" s="3">
        <v>2007</v>
      </c>
      <c r="C355" s="3">
        <v>2018</v>
      </c>
      <c r="D355" s="3">
        <f>(C355-B355)</f>
        <v>11</v>
      </c>
      <c r="E355" s="4">
        <v>100</v>
      </c>
      <c r="F355" s="4">
        <v>202</v>
      </c>
      <c r="G355" s="5">
        <f t="shared" si="15"/>
        <v>102</v>
      </c>
      <c r="H355" s="6">
        <f t="shared" si="16"/>
        <v>102</v>
      </c>
      <c r="I355" s="6">
        <f t="shared" si="17"/>
        <v>9</v>
      </c>
    </row>
    <row r="356" spans="1:9" ht="14.25" customHeight="1" x14ac:dyDescent="0.35">
      <c r="A356" s="2" t="s">
        <v>216</v>
      </c>
      <c r="B356" s="3">
        <v>2002</v>
      </c>
      <c r="C356" s="3">
        <v>2018</v>
      </c>
      <c r="D356" s="3">
        <f>(C356-B356)</f>
        <v>16</v>
      </c>
      <c r="E356" s="4">
        <v>4</v>
      </c>
      <c r="F356" s="4">
        <v>151</v>
      </c>
      <c r="G356" s="5">
        <f t="shared" si="15"/>
        <v>147</v>
      </c>
      <c r="H356" s="6">
        <f t="shared" si="16"/>
        <v>3675</v>
      </c>
      <c r="I356" s="6">
        <f t="shared" si="17"/>
        <v>229</v>
      </c>
    </row>
    <row r="357" spans="1:9" ht="14.25" customHeight="1" x14ac:dyDescent="0.35">
      <c r="A357" s="2" t="s">
        <v>370</v>
      </c>
      <c r="B357" s="3">
        <v>2010</v>
      </c>
      <c r="C357" s="3">
        <v>2018</v>
      </c>
      <c r="D357" s="3">
        <f>(C357-B357)</f>
        <v>8</v>
      </c>
      <c r="E357" s="4">
        <v>199</v>
      </c>
      <c r="F357" s="4">
        <v>256</v>
      </c>
      <c r="G357" s="5">
        <f t="shared" si="15"/>
        <v>57</v>
      </c>
      <c r="H357" s="6">
        <f t="shared" si="16"/>
        <v>28</v>
      </c>
      <c r="I357" s="6">
        <f t="shared" si="17"/>
        <v>3</v>
      </c>
    </row>
    <row r="358" spans="1:9" ht="14.25" customHeight="1" x14ac:dyDescent="0.35">
      <c r="A358" s="2" t="s">
        <v>386</v>
      </c>
      <c r="B358" s="3">
        <v>2002</v>
      </c>
      <c r="C358" s="3">
        <v>2018</v>
      </c>
      <c r="D358" s="3">
        <f>(C358-B358)</f>
        <v>16</v>
      </c>
      <c r="E358" s="4">
        <v>8</v>
      </c>
      <c r="F358" s="4">
        <v>97</v>
      </c>
      <c r="G358" s="5">
        <f t="shared" si="15"/>
        <v>89</v>
      </c>
      <c r="H358" s="6">
        <f t="shared" si="16"/>
        <v>1112</v>
      </c>
      <c r="I358" s="6">
        <f t="shared" si="17"/>
        <v>69</v>
      </c>
    </row>
    <row r="359" spans="1:9" ht="14.25" customHeight="1" x14ac:dyDescent="0.35">
      <c r="A359" s="2" t="s">
        <v>413</v>
      </c>
      <c r="B359" s="3">
        <v>2004</v>
      </c>
      <c r="C359" s="3">
        <v>2018</v>
      </c>
      <c r="D359" s="3">
        <f>(C359-B359)</f>
        <v>14</v>
      </c>
      <c r="E359" s="4">
        <v>42</v>
      </c>
      <c r="F359" s="4">
        <v>77</v>
      </c>
      <c r="G359" s="5">
        <f t="shared" si="15"/>
        <v>35</v>
      </c>
      <c r="H359" s="6">
        <f t="shared" si="16"/>
        <v>83</v>
      </c>
      <c r="I359" s="6">
        <f t="shared" si="17"/>
        <v>5</v>
      </c>
    </row>
    <row r="360" spans="1:9" ht="14.25" customHeight="1" x14ac:dyDescent="0.35">
      <c r="A360" s="2" t="s">
        <v>265</v>
      </c>
      <c r="B360" s="3">
        <v>2006</v>
      </c>
      <c r="C360" s="3">
        <v>2018</v>
      </c>
      <c r="D360" s="3">
        <f>(C360-B360)</f>
        <v>12</v>
      </c>
      <c r="E360" s="4">
        <v>275</v>
      </c>
      <c r="F360" s="4">
        <v>1650</v>
      </c>
      <c r="G360" s="5">
        <f t="shared" si="15"/>
        <v>1375</v>
      </c>
      <c r="H360" s="6">
        <f t="shared" si="16"/>
        <v>500</v>
      </c>
      <c r="I360" s="6">
        <f t="shared" si="17"/>
        <v>41</v>
      </c>
    </row>
    <row r="361" spans="1:9" ht="14.25" customHeight="1" x14ac:dyDescent="0.35">
      <c r="A361" s="2" t="s">
        <v>264</v>
      </c>
      <c r="B361" s="3">
        <v>2016</v>
      </c>
      <c r="C361" s="3">
        <v>2018</v>
      </c>
      <c r="D361" s="3">
        <f>(C361-B361)</f>
        <v>2</v>
      </c>
      <c r="E361" s="4">
        <v>491</v>
      </c>
      <c r="F361" s="4">
        <v>725</v>
      </c>
      <c r="G361" s="5">
        <f t="shared" si="15"/>
        <v>234</v>
      </c>
      <c r="H361" s="6">
        <f t="shared" si="16"/>
        <v>47</v>
      </c>
      <c r="I361" s="6">
        <f t="shared" si="17"/>
        <v>23</v>
      </c>
    </row>
    <row r="362" spans="1:9" ht="14.25" customHeight="1" x14ac:dyDescent="0.35">
      <c r="A362" s="2" t="s">
        <v>199</v>
      </c>
      <c r="B362" s="3">
        <v>2003</v>
      </c>
      <c r="C362" s="3">
        <v>2018</v>
      </c>
      <c r="D362" s="3">
        <f>(C362-B362)</f>
        <v>15</v>
      </c>
      <c r="E362" s="4">
        <v>8</v>
      </c>
      <c r="F362" s="4">
        <v>396</v>
      </c>
      <c r="G362" s="5">
        <f t="shared" si="15"/>
        <v>388</v>
      </c>
      <c r="H362" s="6">
        <f t="shared" si="16"/>
        <v>4850</v>
      </c>
      <c r="I362" s="6">
        <f t="shared" si="17"/>
        <v>323</v>
      </c>
    </row>
    <row r="363" spans="1:9" ht="14.25" customHeight="1" x14ac:dyDescent="0.35">
      <c r="A363" s="2" t="s">
        <v>378</v>
      </c>
      <c r="B363" s="3">
        <v>2008</v>
      </c>
      <c r="C363" s="3">
        <v>2018</v>
      </c>
      <c r="D363" s="3">
        <f>(C363-B363)</f>
        <v>10</v>
      </c>
      <c r="E363" s="4">
        <v>37</v>
      </c>
      <c r="F363" s="4">
        <v>102</v>
      </c>
      <c r="G363" s="5">
        <f t="shared" si="15"/>
        <v>65</v>
      </c>
      <c r="H363" s="6">
        <f t="shared" si="16"/>
        <v>175</v>
      </c>
      <c r="I363" s="6">
        <f t="shared" si="17"/>
        <v>17</v>
      </c>
    </row>
    <row r="364" spans="1:9" ht="14.25" customHeight="1" x14ac:dyDescent="0.35">
      <c r="A364" s="2" t="s">
        <v>155</v>
      </c>
      <c r="B364" s="3">
        <v>2002</v>
      </c>
      <c r="C364" s="3">
        <v>2018</v>
      </c>
      <c r="D364" s="3">
        <f>(C364-B364)</f>
        <v>16</v>
      </c>
      <c r="E364" s="4">
        <v>3</v>
      </c>
      <c r="F364" s="4">
        <v>700</v>
      </c>
      <c r="G364" s="5">
        <f t="shared" si="15"/>
        <v>697</v>
      </c>
      <c r="H364" s="6">
        <f t="shared" si="16"/>
        <v>23233</v>
      </c>
      <c r="I364" s="6">
        <f t="shared" si="17"/>
        <v>1452</v>
      </c>
    </row>
    <row r="365" spans="1:9" ht="14.25" customHeight="1" x14ac:dyDescent="0.35">
      <c r="A365" s="2" t="s">
        <v>239</v>
      </c>
      <c r="B365" s="3">
        <v>2002</v>
      </c>
      <c r="C365" s="3">
        <v>2018</v>
      </c>
      <c r="D365" s="3">
        <f>(C365-B365)</f>
        <v>16</v>
      </c>
      <c r="E365" s="4">
        <v>9</v>
      </c>
      <c r="F365" s="4">
        <v>162</v>
      </c>
      <c r="G365" s="5">
        <f t="shared" si="15"/>
        <v>153</v>
      </c>
      <c r="H365" s="6">
        <f t="shared" si="16"/>
        <v>1700</v>
      </c>
      <c r="I365" s="6">
        <f t="shared" si="17"/>
        <v>106</v>
      </c>
    </row>
    <row r="366" spans="1:9" ht="14.25" customHeight="1" x14ac:dyDescent="0.35">
      <c r="A366" s="2" t="s">
        <v>92</v>
      </c>
      <c r="B366" s="3">
        <v>2002</v>
      </c>
      <c r="C366" s="3">
        <v>2018</v>
      </c>
      <c r="D366" s="3">
        <f>(C366-B366)</f>
        <v>16</v>
      </c>
      <c r="E366" s="4">
        <v>22</v>
      </c>
      <c r="F366" s="4">
        <v>742</v>
      </c>
      <c r="G366" s="5">
        <f t="shared" si="15"/>
        <v>720</v>
      </c>
      <c r="H366" s="6">
        <f t="shared" si="16"/>
        <v>3272</v>
      </c>
      <c r="I366" s="6">
        <f t="shared" si="17"/>
        <v>204</v>
      </c>
    </row>
    <row r="367" spans="1:9" ht="14.25" customHeight="1" x14ac:dyDescent="0.35">
      <c r="A367" s="2" t="s">
        <v>289</v>
      </c>
      <c r="B367" s="3">
        <v>2002</v>
      </c>
      <c r="C367" s="3">
        <v>2018</v>
      </c>
      <c r="D367" s="3">
        <f>(C367-B367)</f>
        <v>16</v>
      </c>
      <c r="E367" s="4">
        <v>120</v>
      </c>
      <c r="F367" s="4">
        <v>840</v>
      </c>
      <c r="G367" s="5">
        <f t="shared" si="15"/>
        <v>720</v>
      </c>
      <c r="H367" s="6">
        <f t="shared" si="16"/>
        <v>600</v>
      </c>
      <c r="I367" s="6">
        <f t="shared" si="17"/>
        <v>37</v>
      </c>
    </row>
    <row r="368" spans="1:9" ht="14.25" customHeight="1" x14ac:dyDescent="0.35">
      <c r="A368" s="2" t="s">
        <v>50</v>
      </c>
      <c r="B368" s="3">
        <v>2016</v>
      </c>
      <c r="C368" s="3">
        <v>2018</v>
      </c>
      <c r="D368" s="3">
        <f>(C368-B368)</f>
        <v>2</v>
      </c>
      <c r="E368" s="4">
        <v>301</v>
      </c>
      <c r="F368" s="4">
        <v>675</v>
      </c>
      <c r="G368" s="5">
        <f t="shared" si="15"/>
        <v>374</v>
      </c>
      <c r="H368" s="6">
        <f t="shared" si="16"/>
        <v>124</v>
      </c>
      <c r="I368" s="6">
        <f t="shared" si="17"/>
        <v>62</v>
      </c>
    </row>
    <row r="369" spans="1:9" ht="14.25" customHeight="1" x14ac:dyDescent="0.35">
      <c r="A369" s="2" t="s">
        <v>418</v>
      </c>
      <c r="B369" s="3">
        <v>2002</v>
      </c>
      <c r="C369" s="3">
        <v>2018</v>
      </c>
      <c r="D369" s="3">
        <f>(C369-B369)</f>
        <v>16</v>
      </c>
      <c r="E369" s="4">
        <v>35</v>
      </c>
      <c r="F369" s="4">
        <v>61</v>
      </c>
      <c r="G369" s="5">
        <f t="shared" si="15"/>
        <v>26</v>
      </c>
      <c r="H369" s="6">
        <f t="shared" si="16"/>
        <v>74</v>
      </c>
      <c r="I369" s="6">
        <f t="shared" si="17"/>
        <v>4</v>
      </c>
    </row>
    <row r="370" spans="1:9" ht="14.25" customHeight="1" x14ac:dyDescent="0.35">
      <c r="A370" s="2" t="s">
        <v>466</v>
      </c>
      <c r="B370" s="3">
        <v>2006</v>
      </c>
      <c r="C370" s="3">
        <v>2018</v>
      </c>
      <c r="D370" s="3">
        <f>(C370-B370)</f>
        <v>12</v>
      </c>
      <c r="E370" s="4">
        <v>300</v>
      </c>
      <c r="F370" s="4">
        <v>3</v>
      </c>
      <c r="G370" s="5">
        <f t="shared" si="15"/>
        <v>-297</v>
      </c>
      <c r="H370" s="6">
        <f t="shared" si="16"/>
        <v>-99</v>
      </c>
      <c r="I370" s="6">
        <f t="shared" si="17"/>
        <v>-9</v>
      </c>
    </row>
    <row r="371" spans="1:9" ht="14.25" customHeight="1" x14ac:dyDescent="0.35">
      <c r="A371" s="2" t="s">
        <v>97</v>
      </c>
      <c r="B371" s="3">
        <v>2008</v>
      </c>
      <c r="C371" s="3">
        <v>2018</v>
      </c>
      <c r="D371" s="3">
        <f>(C371-B371)</f>
        <v>10</v>
      </c>
      <c r="E371" s="4">
        <v>56</v>
      </c>
      <c r="F371" s="4">
        <v>151</v>
      </c>
      <c r="G371" s="5">
        <f t="shared" si="15"/>
        <v>95</v>
      </c>
      <c r="H371" s="6">
        <f t="shared" si="16"/>
        <v>169</v>
      </c>
      <c r="I371" s="6">
        <f t="shared" si="17"/>
        <v>16</v>
      </c>
    </row>
    <row r="372" spans="1:9" ht="14.25" customHeight="1" x14ac:dyDescent="0.35">
      <c r="A372" s="2" t="s">
        <v>379</v>
      </c>
      <c r="B372" s="3">
        <v>2007</v>
      </c>
      <c r="C372" s="3">
        <v>2018</v>
      </c>
      <c r="D372" s="3">
        <f>(C372-B372)</f>
        <v>11</v>
      </c>
      <c r="E372" s="4">
        <v>33</v>
      </c>
      <c r="F372" s="4">
        <v>99</v>
      </c>
      <c r="G372" s="5">
        <f t="shared" si="15"/>
        <v>66</v>
      </c>
      <c r="H372" s="6">
        <f t="shared" si="16"/>
        <v>200</v>
      </c>
      <c r="I372" s="6">
        <f t="shared" si="17"/>
        <v>18</v>
      </c>
    </row>
    <row r="373" spans="1:9" ht="14.25" customHeight="1" x14ac:dyDescent="0.35">
      <c r="A373" s="2" t="s">
        <v>183</v>
      </c>
      <c r="B373" s="3">
        <v>2011</v>
      </c>
      <c r="C373" s="3">
        <v>2018</v>
      </c>
      <c r="D373" s="3">
        <f>(C373-B373)</f>
        <v>7</v>
      </c>
      <c r="E373" s="4">
        <v>28</v>
      </c>
      <c r="F373" s="4">
        <v>844</v>
      </c>
      <c r="G373" s="5">
        <f t="shared" si="15"/>
        <v>816</v>
      </c>
      <c r="H373" s="6">
        <f t="shared" si="16"/>
        <v>2914</v>
      </c>
      <c r="I373" s="6">
        <f t="shared" si="17"/>
        <v>416</v>
      </c>
    </row>
    <row r="374" spans="1:9" ht="14.25" customHeight="1" x14ac:dyDescent="0.35">
      <c r="A374" s="2" t="s">
        <v>360</v>
      </c>
      <c r="B374" s="3">
        <v>2002</v>
      </c>
      <c r="C374" s="3">
        <v>2018</v>
      </c>
      <c r="D374" s="3">
        <f>(C374-B374)</f>
        <v>16</v>
      </c>
      <c r="E374" s="4">
        <v>55</v>
      </c>
      <c r="F374" s="4">
        <v>205</v>
      </c>
      <c r="G374" s="5">
        <f t="shared" si="15"/>
        <v>150</v>
      </c>
      <c r="H374" s="6">
        <f t="shared" si="16"/>
        <v>272</v>
      </c>
      <c r="I374" s="6">
        <f t="shared" si="17"/>
        <v>17</v>
      </c>
    </row>
    <row r="375" spans="1:9" ht="14.25" customHeight="1" x14ac:dyDescent="0.35">
      <c r="A375" s="2" t="s">
        <v>111</v>
      </c>
      <c r="B375" s="3">
        <v>2002</v>
      </c>
      <c r="C375" s="3">
        <v>2018</v>
      </c>
      <c r="D375" s="3">
        <f>(C375-B375)</f>
        <v>16</v>
      </c>
      <c r="E375" s="4">
        <v>53</v>
      </c>
      <c r="F375" s="4">
        <v>1400</v>
      </c>
      <c r="G375" s="5">
        <f t="shared" si="15"/>
        <v>1347</v>
      </c>
      <c r="H375" s="6">
        <f t="shared" si="16"/>
        <v>2541</v>
      </c>
      <c r="I375" s="6">
        <f t="shared" si="17"/>
        <v>158</v>
      </c>
    </row>
    <row r="376" spans="1:9" ht="14.25" customHeight="1" x14ac:dyDescent="0.35">
      <c r="A376" s="2" t="s">
        <v>131</v>
      </c>
      <c r="B376" s="3">
        <v>2002</v>
      </c>
      <c r="C376" s="3">
        <v>2018</v>
      </c>
      <c r="D376" s="3">
        <f>(C376-B376)</f>
        <v>16</v>
      </c>
      <c r="E376" s="4">
        <v>220</v>
      </c>
      <c r="F376" s="4">
        <v>140</v>
      </c>
      <c r="G376" s="5">
        <f t="shared" si="15"/>
        <v>-80</v>
      </c>
      <c r="H376" s="6">
        <f t="shared" si="16"/>
        <v>-37</v>
      </c>
      <c r="I376" s="6">
        <f t="shared" si="17"/>
        <v>-3</v>
      </c>
    </row>
    <row r="377" spans="1:9" ht="14.25" customHeight="1" x14ac:dyDescent="0.35">
      <c r="A377" s="2" t="s">
        <v>435</v>
      </c>
      <c r="B377" s="3">
        <v>2002</v>
      </c>
      <c r="C377" s="3">
        <v>2018</v>
      </c>
      <c r="D377" s="3">
        <f>(C377-B377)</f>
        <v>16</v>
      </c>
      <c r="E377" s="4">
        <v>13</v>
      </c>
      <c r="F377" s="4">
        <v>11</v>
      </c>
      <c r="G377" s="5">
        <f t="shared" si="15"/>
        <v>-2</v>
      </c>
      <c r="H377" s="6">
        <f t="shared" si="16"/>
        <v>-16</v>
      </c>
      <c r="I377" s="6">
        <f t="shared" si="17"/>
        <v>-1</v>
      </c>
    </row>
    <row r="378" spans="1:9" ht="14.25" customHeight="1" x14ac:dyDescent="0.35">
      <c r="A378" s="2" t="s">
        <v>280</v>
      </c>
      <c r="B378" s="3">
        <v>2013</v>
      </c>
      <c r="C378" s="3">
        <v>2018</v>
      </c>
      <c r="D378" s="3">
        <f>(C378-B378)</f>
        <v>5</v>
      </c>
      <c r="E378" s="4">
        <v>172</v>
      </c>
      <c r="F378" s="4">
        <v>470</v>
      </c>
      <c r="G378" s="5">
        <f t="shared" si="15"/>
        <v>298</v>
      </c>
      <c r="H378" s="6">
        <f t="shared" si="16"/>
        <v>173</v>
      </c>
      <c r="I378" s="6">
        <f t="shared" si="17"/>
        <v>34</v>
      </c>
    </row>
    <row r="379" spans="1:9" ht="14.25" customHeight="1" x14ac:dyDescent="0.35">
      <c r="A379" s="2" t="s">
        <v>484</v>
      </c>
      <c r="B379" s="3">
        <v>2017</v>
      </c>
      <c r="C379" s="3">
        <v>2018</v>
      </c>
      <c r="D379" s="3">
        <f>(C379-B379)</f>
        <v>1</v>
      </c>
      <c r="E379" s="4">
        <v>107</v>
      </c>
      <c r="F379" s="4">
        <v>28</v>
      </c>
      <c r="G379" s="5">
        <f t="shared" si="15"/>
        <v>-79</v>
      </c>
      <c r="H379" s="6">
        <f t="shared" si="16"/>
        <v>-74</v>
      </c>
      <c r="I379" s="6">
        <f t="shared" si="17"/>
        <v>-74</v>
      </c>
    </row>
    <row r="380" spans="1:9" ht="14.25" customHeight="1" x14ac:dyDescent="0.35">
      <c r="A380" s="2" t="s">
        <v>302</v>
      </c>
      <c r="B380" s="3">
        <v>2004</v>
      </c>
      <c r="C380" s="3">
        <v>2018</v>
      </c>
      <c r="D380" s="3">
        <f>(C380-B380)</f>
        <v>14</v>
      </c>
      <c r="E380" s="4">
        <v>42</v>
      </c>
      <c r="F380" s="4">
        <v>524</v>
      </c>
      <c r="G380" s="5">
        <f t="shared" si="15"/>
        <v>482</v>
      </c>
      <c r="H380" s="6">
        <f t="shared" si="16"/>
        <v>1147</v>
      </c>
      <c r="I380" s="6">
        <f t="shared" si="17"/>
        <v>81</v>
      </c>
    </row>
    <row r="381" spans="1:9" ht="14.25" customHeight="1" x14ac:dyDescent="0.35">
      <c r="A381" s="2" t="s">
        <v>486</v>
      </c>
      <c r="B381" s="3">
        <v>2017</v>
      </c>
      <c r="C381" s="3">
        <v>2018</v>
      </c>
      <c r="D381" s="3">
        <f>(C381-B381)</f>
        <v>1</v>
      </c>
      <c r="E381" s="4">
        <v>285</v>
      </c>
      <c r="F381" s="4">
        <v>197</v>
      </c>
      <c r="G381" s="5">
        <f t="shared" si="15"/>
        <v>-88</v>
      </c>
      <c r="H381" s="6">
        <f t="shared" si="16"/>
        <v>-31</v>
      </c>
      <c r="I381" s="6">
        <f t="shared" si="17"/>
        <v>-31</v>
      </c>
    </row>
    <row r="382" spans="1:9" ht="14.25" customHeight="1" x14ac:dyDescent="0.35">
      <c r="A382" s="2" t="s">
        <v>450</v>
      </c>
      <c r="B382" s="3">
        <v>2009</v>
      </c>
      <c r="C382" s="3">
        <v>2018</v>
      </c>
      <c r="D382" s="3">
        <f>(C382-B382)</f>
        <v>9</v>
      </c>
      <c r="E382" s="4">
        <v>56</v>
      </c>
      <c r="F382" s="4">
        <v>10</v>
      </c>
      <c r="G382" s="5">
        <f t="shared" si="15"/>
        <v>-46</v>
      </c>
      <c r="H382" s="6">
        <f t="shared" si="16"/>
        <v>-83</v>
      </c>
      <c r="I382" s="6">
        <f t="shared" si="17"/>
        <v>-10</v>
      </c>
    </row>
    <row r="383" spans="1:9" ht="14.25" customHeight="1" x14ac:dyDescent="0.35">
      <c r="A383" s="2" t="s">
        <v>15</v>
      </c>
      <c r="B383" s="3">
        <v>2008</v>
      </c>
      <c r="C383" s="3">
        <v>2018</v>
      </c>
      <c r="D383" s="3">
        <f>(C383-B383)</f>
        <v>10</v>
      </c>
      <c r="E383" s="4">
        <v>240</v>
      </c>
      <c r="F383" s="4">
        <v>10</v>
      </c>
      <c r="G383" s="5">
        <f t="shared" si="15"/>
        <v>-230</v>
      </c>
      <c r="H383" s="6">
        <f t="shared" si="16"/>
        <v>-96</v>
      </c>
      <c r="I383" s="6">
        <f t="shared" si="17"/>
        <v>-10</v>
      </c>
    </row>
    <row r="384" spans="1:9" ht="14.25" customHeight="1" x14ac:dyDescent="0.35">
      <c r="A384" s="2" t="s">
        <v>308</v>
      </c>
      <c r="B384" s="3">
        <v>2011</v>
      </c>
      <c r="C384" s="3">
        <v>2018</v>
      </c>
      <c r="D384" s="3">
        <f>(C384-B384)</f>
        <v>7</v>
      </c>
      <c r="E384" s="4">
        <v>145</v>
      </c>
      <c r="F384" s="4">
        <v>350</v>
      </c>
      <c r="G384" s="5">
        <f t="shared" si="15"/>
        <v>205</v>
      </c>
      <c r="H384" s="6">
        <f t="shared" si="16"/>
        <v>141</v>
      </c>
      <c r="I384" s="6">
        <f t="shared" si="17"/>
        <v>20</v>
      </c>
    </row>
    <row r="385" spans="1:9" ht="14.25" customHeight="1" x14ac:dyDescent="0.35">
      <c r="A385" s="2" t="s">
        <v>327</v>
      </c>
      <c r="B385" s="3">
        <v>2006</v>
      </c>
      <c r="C385" s="3">
        <v>2018</v>
      </c>
      <c r="D385" s="3">
        <f>(C385-B385)</f>
        <v>12</v>
      </c>
      <c r="E385" s="4">
        <v>33</v>
      </c>
      <c r="F385" s="4">
        <v>250</v>
      </c>
      <c r="G385" s="5">
        <f t="shared" si="15"/>
        <v>217</v>
      </c>
      <c r="H385" s="6">
        <f t="shared" si="16"/>
        <v>657</v>
      </c>
      <c r="I385" s="6">
        <f t="shared" si="17"/>
        <v>54</v>
      </c>
    </row>
    <row r="386" spans="1:9" ht="14.25" customHeight="1" x14ac:dyDescent="0.35">
      <c r="A386" s="2" t="s">
        <v>451</v>
      </c>
      <c r="B386" s="3">
        <v>2015</v>
      </c>
      <c r="C386" s="3">
        <v>2018</v>
      </c>
      <c r="D386" s="3">
        <f>(C386-B386)</f>
        <v>3</v>
      </c>
      <c r="E386" s="4">
        <v>106</v>
      </c>
      <c r="F386" s="4">
        <v>88</v>
      </c>
      <c r="G386" s="5">
        <f t="shared" si="15"/>
        <v>-18</v>
      </c>
      <c r="H386" s="6">
        <f t="shared" si="16"/>
        <v>-17</v>
      </c>
      <c r="I386" s="6">
        <f t="shared" si="17"/>
        <v>-6</v>
      </c>
    </row>
    <row r="387" spans="1:9" ht="14.25" customHeight="1" x14ac:dyDescent="0.35">
      <c r="A387" s="2" t="s">
        <v>112</v>
      </c>
      <c r="B387" s="3">
        <v>2002</v>
      </c>
      <c r="C387" s="3">
        <v>2018</v>
      </c>
      <c r="D387" s="3">
        <f>(C387-B387)</f>
        <v>16</v>
      </c>
      <c r="E387" s="4">
        <v>12</v>
      </c>
      <c r="F387" s="4">
        <v>58</v>
      </c>
      <c r="G387" s="5">
        <f t="shared" ref="G387:G450" si="18">INT((F387-E387))</f>
        <v>46</v>
      </c>
      <c r="H387" s="6">
        <f t="shared" ref="H387:H450" si="19">INT(G387*100/E387)</f>
        <v>383</v>
      </c>
      <c r="I387" s="6">
        <f t="shared" ref="I387:I450" si="20">INT(H387/D387)</f>
        <v>23</v>
      </c>
    </row>
    <row r="388" spans="1:9" ht="14.25" customHeight="1" x14ac:dyDescent="0.35">
      <c r="A388" s="2" t="s">
        <v>247</v>
      </c>
      <c r="B388" s="3">
        <v>2002</v>
      </c>
      <c r="C388" s="3">
        <v>2018</v>
      </c>
      <c r="D388" s="3">
        <f>(C388-B388)</f>
        <v>16</v>
      </c>
      <c r="E388" s="4">
        <v>390</v>
      </c>
      <c r="F388" s="4">
        <v>5920</v>
      </c>
      <c r="G388" s="5">
        <f t="shared" si="18"/>
        <v>5530</v>
      </c>
      <c r="H388" s="6">
        <f t="shared" si="19"/>
        <v>1417</v>
      </c>
      <c r="I388" s="6">
        <f t="shared" si="20"/>
        <v>88</v>
      </c>
    </row>
    <row r="389" spans="1:9" ht="14.25" customHeight="1" x14ac:dyDescent="0.35">
      <c r="A389" s="2" t="s">
        <v>109</v>
      </c>
      <c r="B389" s="3">
        <v>2017</v>
      </c>
      <c r="C389" s="3">
        <v>2018</v>
      </c>
      <c r="D389" s="3">
        <f>(C389-B389)</f>
        <v>1</v>
      </c>
      <c r="E389" s="4">
        <v>696</v>
      </c>
      <c r="F389" s="4">
        <v>611</v>
      </c>
      <c r="G389" s="5">
        <f t="shared" si="18"/>
        <v>-85</v>
      </c>
      <c r="H389" s="6">
        <f t="shared" si="19"/>
        <v>-13</v>
      </c>
      <c r="I389" s="6">
        <f t="shared" si="20"/>
        <v>-13</v>
      </c>
    </row>
    <row r="390" spans="1:9" ht="14.25" customHeight="1" x14ac:dyDescent="0.35">
      <c r="A390" s="2" t="s">
        <v>114</v>
      </c>
      <c r="B390" s="3">
        <v>2002</v>
      </c>
      <c r="C390" s="3">
        <v>2018</v>
      </c>
      <c r="D390" s="3">
        <f>(C390-B390)</f>
        <v>16</v>
      </c>
      <c r="E390" s="4">
        <v>23</v>
      </c>
      <c r="F390" s="4">
        <v>327</v>
      </c>
      <c r="G390" s="5">
        <f t="shared" si="18"/>
        <v>304</v>
      </c>
      <c r="H390" s="6">
        <f t="shared" si="19"/>
        <v>1321</v>
      </c>
      <c r="I390" s="6">
        <f t="shared" si="20"/>
        <v>82</v>
      </c>
    </row>
    <row r="391" spans="1:9" ht="14.25" customHeight="1" x14ac:dyDescent="0.35">
      <c r="A391" s="2" t="s">
        <v>175</v>
      </c>
      <c r="B391" s="3">
        <v>2002</v>
      </c>
      <c r="C391" s="3">
        <v>2018</v>
      </c>
      <c r="D391" s="3">
        <f>(C391-B391)</f>
        <v>16</v>
      </c>
      <c r="E391" s="4">
        <v>60</v>
      </c>
      <c r="F391" s="4">
        <v>5500</v>
      </c>
      <c r="G391" s="5">
        <f t="shared" si="18"/>
        <v>5440</v>
      </c>
      <c r="H391" s="6">
        <f t="shared" si="19"/>
        <v>9066</v>
      </c>
      <c r="I391" s="6">
        <f t="shared" si="20"/>
        <v>566</v>
      </c>
    </row>
    <row r="392" spans="1:9" ht="14.25" customHeight="1" x14ac:dyDescent="0.35">
      <c r="A392" s="2" t="s">
        <v>442</v>
      </c>
      <c r="B392" s="3">
        <v>2002</v>
      </c>
      <c r="C392" s="3">
        <v>2018</v>
      </c>
      <c r="D392" s="3">
        <f>(C392-B392)</f>
        <v>16</v>
      </c>
      <c r="E392" s="4">
        <v>60</v>
      </c>
      <c r="F392" s="4">
        <v>38</v>
      </c>
      <c r="G392" s="5">
        <f t="shared" si="18"/>
        <v>-22</v>
      </c>
      <c r="H392" s="6">
        <f t="shared" si="19"/>
        <v>-37</v>
      </c>
      <c r="I392" s="6">
        <f t="shared" si="20"/>
        <v>-3</v>
      </c>
    </row>
    <row r="393" spans="1:9" ht="14.25" customHeight="1" x14ac:dyDescent="0.35">
      <c r="A393" s="2" t="s">
        <v>261</v>
      </c>
      <c r="B393" s="3">
        <v>2016</v>
      </c>
      <c r="C393" s="3">
        <v>2018</v>
      </c>
      <c r="D393" s="3">
        <f>(C393-B393)</f>
        <v>2</v>
      </c>
      <c r="E393" s="4">
        <v>1032</v>
      </c>
      <c r="F393" s="4">
        <v>1315</v>
      </c>
      <c r="G393" s="5">
        <f t="shared" si="18"/>
        <v>283</v>
      </c>
      <c r="H393" s="6">
        <f t="shared" si="19"/>
        <v>27</v>
      </c>
      <c r="I393" s="6">
        <f t="shared" si="20"/>
        <v>13</v>
      </c>
    </row>
    <row r="394" spans="1:9" ht="14.25" customHeight="1" x14ac:dyDescent="0.35">
      <c r="A394" s="2" t="s">
        <v>491</v>
      </c>
      <c r="B394" s="3">
        <v>2017</v>
      </c>
      <c r="C394" s="3">
        <v>2018</v>
      </c>
      <c r="D394" s="3">
        <f>(C394-B394)</f>
        <v>1</v>
      </c>
      <c r="E394" s="4">
        <v>686</v>
      </c>
      <c r="F394" s="4">
        <v>435</v>
      </c>
      <c r="G394" s="5">
        <f t="shared" si="18"/>
        <v>-251</v>
      </c>
      <c r="H394" s="6">
        <f t="shared" si="19"/>
        <v>-37</v>
      </c>
      <c r="I394" s="6">
        <f t="shared" si="20"/>
        <v>-37</v>
      </c>
    </row>
    <row r="395" spans="1:9" ht="14.25" customHeight="1" x14ac:dyDescent="0.35">
      <c r="A395" s="2" t="s">
        <v>307</v>
      </c>
      <c r="B395" s="3">
        <v>2009</v>
      </c>
      <c r="C395" s="3">
        <v>2018</v>
      </c>
      <c r="D395" s="3">
        <f>(C395-B395)</f>
        <v>9</v>
      </c>
      <c r="E395" s="4">
        <v>64</v>
      </c>
      <c r="F395" s="4">
        <v>334</v>
      </c>
      <c r="G395" s="5">
        <f t="shared" si="18"/>
        <v>270</v>
      </c>
      <c r="H395" s="6">
        <f t="shared" si="19"/>
        <v>421</v>
      </c>
      <c r="I395" s="6">
        <f t="shared" si="20"/>
        <v>46</v>
      </c>
    </row>
    <row r="396" spans="1:9" ht="14.25" customHeight="1" x14ac:dyDescent="0.35">
      <c r="A396" s="2" t="s">
        <v>463</v>
      </c>
      <c r="B396" s="3">
        <v>2015</v>
      </c>
      <c r="C396" s="3">
        <v>2018</v>
      </c>
      <c r="D396" s="3">
        <f>(C396-B396)</f>
        <v>3</v>
      </c>
      <c r="E396" s="4">
        <v>215</v>
      </c>
      <c r="F396" s="4">
        <v>152</v>
      </c>
      <c r="G396" s="5">
        <f t="shared" si="18"/>
        <v>-63</v>
      </c>
      <c r="H396" s="6">
        <f t="shared" si="19"/>
        <v>-30</v>
      </c>
      <c r="I396" s="6">
        <f t="shared" si="20"/>
        <v>-10</v>
      </c>
    </row>
    <row r="397" spans="1:9" ht="14.25" customHeight="1" x14ac:dyDescent="0.35">
      <c r="A397" s="2" t="s">
        <v>321</v>
      </c>
      <c r="B397" s="3">
        <v>2005</v>
      </c>
      <c r="C397" s="3">
        <v>2018</v>
      </c>
      <c r="D397" s="3">
        <f>(C397-B397)</f>
        <v>13</v>
      </c>
      <c r="E397" s="4">
        <v>185</v>
      </c>
      <c r="F397" s="4">
        <v>475</v>
      </c>
      <c r="G397" s="5">
        <f t="shared" si="18"/>
        <v>290</v>
      </c>
      <c r="H397" s="6">
        <f t="shared" si="19"/>
        <v>156</v>
      </c>
      <c r="I397" s="6">
        <f t="shared" si="20"/>
        <v>12</v>
      </c>
    </row>
    <row r="398" spans="1:9" ht="14.25" customHeight="1" x14ac:dyDescent="0.35">
      <c r="A398" s="2" t="s">
        <v>64</v>
      </c>
      <c r="B398" s="3">
        <v>2002</v>
      </c>
      <c r="C398" s="3">
        <v>2018</v>
      </c>
      <c r="D398" s="3">
        <f>(C398-B398)</f>
        <v>16</v>
      </c>
      <c r="E398" s="4">
        <v>54</v>
      </c>
      <c r="F398" s="4">
        <v>18650</v>
      </c>
      <c r="G398" s="5">
        <f t="shared" si="18"/>
        <v>18596</v>
      </c>
      <c r="H398" s="6">
        <f t="shared" si="19"/>
        <v>34437</v>
      </c>
      <c r="I398" s="6">
        <f t="shared" si="20"/>
        <v>2152</v>
      </c>
    </row>
    <row r="399" spans="1:9" ht="14.25" customHeight="1" x14ac:dyDescent="0.35">
      <c r="A399" s="2" t="s">
        <v>192</v>
      </c>
      <c r="B399" s="3">
        <v>2005</v>
      </c>
      <c r="C399" s="3">
        <v>2018</v>
      </c>
      <c r="D399" s="3">
        <f>(C399-B399)</f>
        <v>13</v>
      </c>
      <c r="E399" s="4">
        <v>34</v>
      </c>
      <c r="F399" s="4">
        <v>1800</v>
      </c>
      <c r="G399" s="5">
        <f t="shared" si="18"/>
        <v>1766</v>
      </c>
      <c r="H399" s="6">
        <f t="shared" si="19"/>
        <v>5194</v>
      </c>
      <c r="I399" s="6">
        <f t="shared" si="20"/>
        <v>399</v>
      </c>
    </row>
    <row r="400" spans="1:9" ht="14.25" customHeight="1" x14ac:dyDescent="0.35">
      <c r="A400" s="2" t="s">
        <v>43</v>
      </c>
      <c r="B400" s="3">
        <v>2002</v>
      </c>
      <c r="C400" s="3">
        <v>2018</v>
      </c>
      <c r="D400" s="3">
        <f>(C400-B400)</f>
        <v>16</v>
      </c>
      <c r="E400" s="4">
        <v>34</v>
      </c>
      <c r="F400" s="4">
        <v>1170</v>
      </c>
      <c r="G400" s="5">
        <f t="shared" si="18"/>
        <v>1136</v>
      </c>
      <c r="H400" s="6">
        <f t="shared" si="19"/>
        <v>3341</v>
      </c>
      <c r="I400" s="6">
        <f t="shared" si="20"/>
        <v>208</v>
      </c>
    </row>
    <row r="401" spans="1:9" ht="14.25" customHeight="1" x14ac:dyDescent="0.35">
      <c r="A401" s="2" t="s">
        <v>275</v>
      </c>
      <c r="B401" s="3">
        <v>2017</v>
      </c>
      <c r="C401" s="3">
        <v>2018</v>
      </c>
      <c r="D401" s="3">
        <f>(C401-B401)</f>
        <v>1</v>
      </c>
      <c r="E401" s="4">
        <v>770</v>
      </c>
      <c r="F401" s="4">
        <v>845</v>
      </c>
      <c r="G401" s="5">
        <f t="shared" si="18"/>
        <v>75</v>
      </c>
      <c r="H401" s="6">
        <f t="shared" si="19"/>
        <v>9</v>
      </c>
      <c r="I401" s="6">
        <f t="shared" si="20"/>
        <v>9</v>
      </c>
    </row>
    <row r="402" spans="1:9" ht="14.25" customHeight="1" x14ac:dyDescent="0.35">
      <c r="A402" s="2" t="s">
        <v>428</v>
      </c>
      <c r="B402" s="3">
        <v>2010</v>
      </c>
      <c r="C402" s="3">
        <v>2018</v>
      </c>
      <c r="D402" s="3">
        <f>(C402-B402)</f>
        <v>8</v>
      </c>
      <c r="E402" s="4">
        <v>24</v>
      </c>
      <c r="F402" s="4">
        <v>24</v>
      </c>
      <c r="G402" s="5">
        <f t="shared" si="18"/>
        <v>0</v>
      </c>
      <c r="H402" s="6">
        <f t="shared" si="19"/>
        <v>0</v>
      </c>
      <c r="I402" s="6">
        <f t="shared" si="20"/>
        <v>0</v>
      </c>
    </row>
    <row r="403" spans="1:9" ht="14.25" customHeight="1" x14ac:dyDescent="0.35">
      <c r="A403" s="2" t="s">
        <v>205</v>
      </c>
      <c r="B403" s="3">
        <v>2002</v>
      </c>
      <c r="C403" s="3">
        <v>2018</v>
      </c>
      <c r="D403" s="3">
        <f>(C403-B403)</f>
        <v>16</v>
      </c>
      <c r="E403" s="4">
        <v>44</v>
      </c>
      <c r="F403" s="4">
        <v>2070</v>
      </c>
      <c r="G403" s="5">
        <f t="shared" si="18"/>
        <v>2026</v>
      </c>
      <c r="H403" s="6">
        <f t="shared" si="19"/>
        <v>4604</v>
      </c>
      <c r="I403" s="6">
        <f t="shared" si="20"/>
        <v>287</v>
      </c>
    </row>
    <row r="404" spans="1:9" ht="14.25" customHeight="1" x14ac:dyDescent="0.35">
      <c r="A404" s="2" t="s">
        <v>475</v>
      </c>
      <c r="B404" s="3">
        <v>2006</v>
      </c>
      <c r="C404" s="3">
        <v>2018</v>
      </c>
      <c r="D404" s="3">
        <f>(C404-B404)</f>
        <v>12</v>
      </c>
      <c r="E404" s="4">
        <v>1008</v>
      </c>
      <c r="F404" s="4">
        <v>492</v>
      </c>
      <c r="G404" s="5">
        <f t="shared" si="18"/>
        <v>-516</v>
      </c>
      <c r="H404" s="6">
        <f t="shared" si="19"/>
        <v>-52</v>
      </c>
      <c r="I404" s="6">
        <f t="shared" si="20"/>
        <v>-5</v>
      </c>
    </row>
    <row r="405" spans="1:9" ht="14.25" customHeight="1" x14ac:dyDescent="0.35">
      <c r="A405" s="2" t="s">
        <v>228</v>
      </c>
      <c r="B405" s="3">
        <v>2006</v>
      </c>
      <c r="C405" s="3">
        <v>2018</v>
      </c>
      <c r="D405" s="3">
        <f>(C405-B405)</f>
        <v>12</v>
      </c>
      <c r="E405" s="4">
        <v>48</v>
      </c>
      <c r="F405" s="4">
        <v>1054</v>
      </c>
      <c r="G405" s="5">
        <f t="shared" si="18"/>
        <v>1006</v>
      </c>
      <c r="H405" s="6">
        <f t="shared" si="19"/>
        <v>2095</v>
      </c>
      <c r="I405" s="6">
        <f t="shared" si="20"/>
        <v>174</v>
      </c>
    </row>
    <row r="406" spans="1:9" ht="14.25" customHeight="1" x14ac:dyDescent="0.35">
      <c r="A406" s="2" t="s">
        <v>235</v>
      </c>
      <c r="B406" s="3">
        <v>2002</v>
      </c>
      <c r="C406" s="3">
        <v>2018</v>
      </c>
      <c r="D406" s="3">
        <f>(C406-B406)</f>
        <v>16</v>
      </c>
      <c r="E406" s="4">
        <v>19</v>
      </c>
      <c r="F406" s="4">
        <v>360</v>
      </c>
      <c r="G406" s="5">
        <f t="shared" si="18"/>
        <v>341</v>
      </c>
      <c r="H406" s="6">
        <f t="shared" si="19"/>
        <v>1794</v>
      </c>
      <c r="I406" s="6">
        <f t="shared" si="20"/>
        <v>112</v>
      </c>
    </row>
    <row r="407" spans="1:9" ht="14.25" customHeight="1" x14ac:dyDescent="0.35">
      <c r="A407" s="2" t="s">
        <v>429</v>
      </c>
      <c r="B407" s="3">
        <v>2002</v>
      </c>
      <c r="C407" s="3">
        <v>2018</v>
      </c>
      <c r="D407" s="3">
        <f>(C407-B407)</f>
        <v>16</v>
      </c>
      <c r="E407" s="4">
        <v>3</v>
      </c>
      <c r="F407" s="4">
        <v>17</v>
      </c>
      <c r="G407" s="5">
        <f t="shared" si="18"/>
        <v>14</v>
      </c>
      <c r="H407" s="6">
        <f t="shared" si="19"/>
        <v>466</v>
      </c>
      <c r="I407" s="6">
        <f t="shared" si="20"/>
        <v>29</v>
      </c>
    </row>
    <row r="408" spans="1:9" ht="14.25" customHeight="1" x14ac:dyDescent="0.35">
      <c r="A408" s="2" t="s">
        <v>371</v>
      </c>
      <c r="B408" s="3">
        <v>2007</v>
      </c>
      <c r="C408" s="3">
        <v>2018</v>
      </c>
      <c r="D408" s="3">
        <f>(C408-B408)</f>
        <v>11</v>
      </c>
      <c r="E408" s="4">
        <v>109</v>
      </c>
      <c r="F408" s="4">
        <v>190</v>
      </c>
      <c r="G408" s="5">
        <f t="shared" si="18"/>
        <v>81</v>
      </c>
      <c r="H408" s="6">
        <f t="shared" si="19"/>
        <v>74</v>
      </c>
      <c r="I408" s="6">
        <f t="shared" si="20"/>
        <v>6</v>
      </c>
    </row>
    <row r="409" spans="1:9" ht="14.25" customHeight="1" x14ac:dyDescent="0.35">
      <c r="A409" s="2" t="s">
        <v>485</v>
      </c>
      <c r="B409" s="3">
        <v>2017</v>
      </c>
      <c r="C409" s="3">
        <v>2018</v>
      </c>
      <c r="D409" s="3">
        <f>(C409-B409)</f>
        <v>1</v>
      </c>
      <c r="E409" s="4">
        <v>106</v>
      </c>
      <c r="F409" s="4">
        <v>20</v>
      </c>
      <c r="G409" s="5">
        <f t="shared" si="18"/>
        <v>-86</v>
      </c>
      <c r="H409" s="6">
        <f t="shared" si="19"/>
        <v>-82</v>
      </c>
      <c r="I409" s="6">
        <f t="shared" si="20"/>
        <v>-82</v>
      </c>
    </row>
    <row r="410" spans="1:9" ht="14.25" customHeight="1" x14ac:dyDescent="0.35">
      <c r="A410" s="2" t="s">
        <v>419</v>
      </c>
      <c r="B410" s="3">
        <v>2002</v>
      </c>
      <c r="C410" s="3">
        <v>2018</v>
      </c>
      <c r="D410" s="3">
        <f>(C410-B410)</f>
        <v>16</v>
      </c>
      <c r="E410" s="4">
        <v>5</v>
      </c>
      <c r="F410" s="4">
        <v>29</v>
      </c>
      <c r="G410" s="5">
        <f t="shared" si="18"/>
        <v>24</v>
      </c>
      <c r="H410" s="6">
        <f t="shared" si="19"/>
        <v>480</v>
      </c>
      <c r="I410" s="6">
        <f t="shared" si="20"/>
        <v>30</v>
      </c>
    </row>
    <row r="411" spans="1:9" ht="14.25" customHeight="1" x14ac:dyDescent="0.35">
      <c r="A411" s="2" t="s">
        <v>107</v>
      </c>
      <c r="B411" s="3">
        <v>2002</v>
      </c>
      <c r="C411" s="3">
        <v>2018</v>
      </c>
      <c r="D411" s="3">
        <f>(C411-B411)</f>
        <v>16</v>
      </c>
      <c r="E411" s="4">
        <v>30</v>
      </c>
      <c r="F411" s="4">
        <v>2405</v>
      </c>
      <c r="G411" s="5">
        <f t="shared" si="18"/>
        <v>2375</v>
      </c>
      <c r="H411" s="6">
        <f t="shared" si="19"/>
        <v>7916</v>
      </c>
      <c r="I411" s="6">
        <f t="shared" si="20"/>
        <v>494</v>
      </c>
    </row>
    <row r="412" spans="1:9" ht="14.25" customHeight="1" x14ac:dyDescent="0.35">
      <c r="A412" s="2" t="s">
        <v>121</v>
      </c>
      <c r="B412" s="3">
        <v>2002</v>
      </c>
      <c r="C412" s="3">
        <v>2018</v>
      </c>
      <c r="D412" s="3">
        <f>(C412-B412)</f>
        <v>16</v>
      </c>
      <c r="E412" s="4">
        <v>12</v>
      </c>
      <c r="F412" s="4">
        <v>1222</v>
      </c>
      <c r="G412" s="5">
        <f t="shared" si="18"/>
        <v>1210</v>
      </c>
      <c r="H412" s="6">
        <f t="shared" si="19"/>
        <v>10083</v>
      </c>
      <c r="I412" s="6">
        <f t="shared" si="20"/>
        <v>630</v>
      </c>
    </row>
    <row r="413" spans="1:9" ht="14.25" customHeight="1" x14ac:dyDescent="0.35">
      <c r="A413" s="2" t="s">
        <v>317</v>
      </c>
      <c r="B413" s="3">
        <v>2003</v>
      </c>
      <c r="C413" s="3">
        <v>2018</v>
      </c>
      <c r="D413" s="3">
        <f>(C413-B413)</f>
        <v>15</v>
      </c>
      <c r="E413" s="4">
        <v>98</v>
      </c>
      <c r="F413" s="4">
        <v>473</v>
      </c>
      <c r="G413" s="5">
        <f t="shared" si="18"/>
        <v>375</v>
      </c>
      <c r="H413" s="6">
        <f t="shared" si="19"/>
        <v>382</v>
      </c>
      <c r="I413" s="6">
        <f t="shared" si="20"/>
        <v>25</v>
      </c>
    </row>
    <row r="414" spans="1:9" ht="14.25" customHeight="1" x14ac:dyDescent="0.35">
      <c r="A414" s="2" t="s">
        <v>469</v>
      </c>
      <c r="B414" s="3">
        <v>2017</v>
      </c>
      <c r="C414" s="3">
        <v>2018</v>
      </c>
      <c r="D414" s="3">
        <f>(C414-B414)</f>
        <v>1</v>
      </c>
      <c r="E414" s="4">
        <v>130</v>
      </c>
      <c r="F414" s="4">
        <v>100</v>
      </c>
      <c r="G414" s="5">
        <f t="shared" si="18"/>
        <v>-30</v>
      </c>
      <c r="H414" s="6">
        <f t="shared" si="19"/>
        <v>-24</v>
      </c>
      <c r="I414" s="6">
        <f t="shared" si="20"/>
        <v>-24</v>
      </c>
    </row>
    <row r="415" spans="1:9" ht="14.25" customHeight="1" x14ac:dyDescent="0.35">
      <c r="A415" s="2" t="s">
        <v>342</v>
      </c>
      <c r="B415" s="3">
        <v>2002</v>
      </c>
      <c r="C415" s="3">
        <v>2018</v>
      </c>
      <c r="D415" s="3">
        <f>(C415-B415)</f>
        <v>16</v>
      </c>
      <c r="E415" s="4">
        <v>23</v>
      </c>
      <c r="F415" s="4">
        <v>218</v>
      </c>
      <c r="G415" s="5">
        <f t="shared" si="18"/>
        <v>195</v>
      </c>
      <c r="H415" s="6">
        <f t="shared" si="19"/>
        <v>847</v>
      </c>
      <c r="I415" s="6">
        <f t="shared" si="20"/>
        <v>52</v>
      </c>
    </row>
    <row r="416" spans="1:9" ht="14.25" customHeight="1" x14ac:dyDescent="0.35">
      <c r="A416" s="2" t="s">
        <v>234</v>
      </c>
      <c r="B416" s="3">
        <v>2006</v>
      </c>
      <c r="C416" s="3">
        <v>2018</v>
      </c>
      <c r="D416" s="3">
        <f>(C416-B416)</f>
        <v>12</v>
      </c>
      <c r="E416" s="4">
        <v>18</v>
      </c>
      <c r="F416" s="4">
        <v>348</v>
      </c>
      <c r="G416" s="5">
        <f t="shared" si="18"/>
        <v>330</v>
      </c>
      <c r="H416" s="6">
        <f t="shared" si="19"/>
        <v>1833</v>
      </c>
      <c r="I416" s="6">
        <f t="shared" si="20"/>
        <v>152</v>
      </c>
    </row>
    <row r="417" spans="1:9" ht="14.25" customHeight="1" x14ac:dyDescent="0.35">
      <c r="A417" s="2" t="s">
        <v>207</v>
      </c>
      <c r="B417" s="3">
        <v>2002</v>
      </c>
      <c r="C417" s="3">
        <v>2018</v>
      </c>
      <c r="D417" s="3">
        <f>(C417-B417)</f>
        <v>16</v>
      </c>
      <c r="E417" s="4">
        <v>38</v>
      </c>
      <c r="F417" s="4">
        <v>1530</v>
      </c>
      <c r="G417" s="5">
        <f t="shared" si="18"/>
        <v>1492</v>
      </c>
      <c r="H417" s="6">
        <f t="shared" si="19"/>
        <v>3926</v>
      </c>
      <c r="I417" s="6">
        <f t="shared" si="20"/>
        <v>245</v>
      </c>
    </row>
    <row r="418" spans="1:9" ht="14.25" customHeight="1" x14ac:dyDescent="0.35">
      <c r="A418" s="2" t="s">
        <v>196</v>
      </c>
      <c r="B418" s="3">
        <v>2002</v>
      </c>
      <c r="C418" s="3">
        <v>2018</v>
      </c>
      <c r="D418" s="3">
        <f>(C418-B418)</f>
        <v>16</v>
      </c>
      <c r="E418" s="4">
        <v>10</v>
      </c>
      <c r="F418" s="4">
        <v>590</v>
      </c>
      <c r="G418" s="5">
        <f t="shared" si="18"/>
        <v>580</v>
      </c>
      <c r="H418" s="6">
        <f t="shared" si="19"/>
        <v>5800</v>
      </c>
      <c r="I418" s="6">
        <f t="shared" si="20"/>
        <v>362</v>
      </c>
    </row>
    <row r="419" spans="1:9" ht="14.25" customHeight="1" x14ac:dyDescent="0.35">
      <c r="A419" s="2" t="s">
        <v>117</v>
      </c>
      <c r="B419" s="3">
        <v>2002</v>
      </c>
      <c r="C419" s="3">
        <v>2018</v>
      </c>
      <c r="D419" s="3">
        <f>(C419-B419)</f>
        <v>16</v>
      </c>
      <c r="E419" s="4">
        <v>14</v>
      </c>
      <c r="F419" s="4">
        <v>467</v>
      </c>
      <c r="G419" s="5">
        <f t="shared" si="18"/>
        <v>453</v>
      </c>
      <c r="H419" s="6">
        <f t="shared" si="19"/>
        <v>3235</v>
      </c>
      <c r="I419" s="6">
        <f t="shared" si="20"/>
        <v>202</v>
      </c>
    </row>
    <row r="420" spans="1:9" ht="14.25" customHeight="1" x14ac:dyDescent="0.35">
      <c r="A420" s="2" t="s">
        <v>318</v>
      </c>
      <c r="B420" s="3">
        <v>2009</v>
      </c>
      <c r="C420" s="3">
        <v>2018</v>
      </c>
      <c r="D420" s="3">
        <f>(C420-B420)</f>
        <v>9</v>
      </c>
      <c r="E420" s="4">
        <v>258</v>
      </c>
      <c r="F420" s="4">
        <v>480</v>
      </c>
      <c r="G420" s="5">
        <f t="shared" si="18"/>
        <v>222</v>
      </c>
      <c r="H420" s="6">
        <f t="shared" si="19"/>
        <v>86</v>
      </c>
      <c r="I420" s="6">
        <f t="shared" si="20"/>
        <v>9</v>
      </c>
    </row>
    <row r="421" spans="1:9" ht="14.25" customHeight="1" x14ac:dyDescent="0.35">
      <c r="A421" s="2" t="s">
        <v>55</v>
      </c>
      <c r="B421" s="3">
        <v>2006</v>
      </c>
      <c r="C421" s="3">
        <v>2018</v>
      </c>
      <c r="D421" s="3">
        <f>(C421-B421)</f>
        <v>12</v>
      </c>
      <c r="E421" s="4">
        <v>316</v>
      </c>
      <c r="F421" s="4">
        <v>635</v>
      </c>
      <c r="G421" s="5">
        <f t="shared" si="18"/>
        <v>319</v>
      </c>
      <c r="H421" s="6">
        <f t="shared" si="19"/>
        <v>100</v>
      </c>
      <c r="I421" s="6">
        <f t="shared" si="20"/>
        <v>8</v>
      </c>
    </row>
    <row r="422" spans="1:9" ht="14.25" customHeight="1" x14ac:dyDescent="0.35">
      <c r="A422" s="2" t="s">
        <v>169</v>
      </c>
      <c r="B422" s="3">
        <v>2002</v>
      </c>
      <c r="C422" s="3">
        <v>2018</v>
      </c>
      <c r="D422" s="3">
        <f>(C422-B422)</f>
        <v>16</v>
      </c>
      <c r="E422" s="4">
        <v>10</v>
      </c>
      <c r="F422" s="4">
        <v>1130</v>
      </c>
      <c r="G422" s="5">
        <f t="shared" si="18"/>
        <v>1120</v>
      </c>
      <c r="H422" s="6">
        <f t="shared" si="19"/>
        <v>11200</v>
      </c>
      <c r="I422" s="6">
        <f t="shared" si="20"/>
        <v>700</v>
      </c>
    </row>
    <row r="423" spans="1:9" ht="14.25" customHeight="1" x14ac:dyDescent="0.35">
      <c r="A423" s="2" t="s">
        <v>332</v>
      </c>
      <c r="B423" s="3">
        <v>2003</v>
      </c>
      <c r="C423" s="3">
        <v>2018</v>
      </c>
      <c r="D423" s="3">
        <f>(C423-B423)</f>
        <v>15</v>
      </c>
      <c r="E423" s="4">
        <v>18</v>
      </c>
      <c r="F423" s="4">
        <v>259</v>
      </c>
      <c r="G423" s="5">
        <f t="shared" si="18"/>
        <v>241</v>
      </c>
      <c r="H423" s="6">
        <f t="shared" si="19"/>
        <v>1338</v>
      </c>
      <c r="I423" s="6">
        <f t="shared" si="20"/>
        <v>89</v>
      </c>
    </row>
    <row r="424" spans="1:9" ht="14.25" customHeight="1" x14ac:dyDescent="0.35">
      <c r="A424" s="2" t="s">
        <v>458</v>
      </c>
      <c r="B424" s="3">
        <v>2005</v>
      </c>
      <c r="C424" s="3">
        <v>2018</v>
      </c>
      <c r="D424" s="3">
        <f>(C424-B424)</f>
        <v>13</v>
      </c>
      <c r="E424" s="4">
        <v>135</v>
      </c>
      <c r="F424" s="4">
        <v>7</v>
      </c>
      <c r="G424" s="5">
        <f t="shared" si="18"/>
        <v>-128</v>
      </c>
      <c r="H424" s="6">
        <f t="shared" si="19"/>
        <v>-95</v>
      </c>
      <c r="I424" s="6">
        <f t="shared" si="20"/>
        <v>-8</v>
      </c>
    </row>
    <row r="425" spans="1:9" ht="14.25" customHeight="1" x14ac:dyDescent="0.35">
      <c r="A425" s="2" t="s">
        <v>372</v>
      </c>
      <c r="B425" s="3">
        <v>2012</v>
      </c>
      <c r="C425" s="3">
        <v>2018</v>
      </c>
      <c r="D425" s="3">
        <f>(C425-B425)</f>
        <v>6</v>
      </c>
      <c r="E425" s="4">
        <v>71</v>
      </c>
      <c r="F425" s="4">
        <v>113</v>
      </c>
      <c r="G425" s="5">
        <f t="shared" si="18"/>
        <v>42</v>
      </c>
      <c r="H425" s="6">
        <f t="shared" si="19"/>
        <v>59</v>
      </c>
      <c r="I425" s="6">
        <f t="shared" si="20"/>
        <v>9</v>
      </c>
    </row>
    <row r="426" spans="1:9" ht="14.25" customHeight="1" x14ac:dyDescent="0.35">
      <c r="A426" s="2" t="s">
        <v>223</v>
      </c>
      <c r="B426" s="3">
        <v>2011</v>
      </c>
      <c r="C426" s="3">
        <v>2018</v>
      </c>
      <c r="D426" s="3">
        <f>(C426-B426)</f>
        <v>7</v>
      </c>
      <c r="E426" s="4">
        <v>110</v>
      </c>
      <c r="F426" s="4">
        <v>1360</v>
      </c>
      <c r="G426" s="5">
        <f t="shared" si="18"/>
        <v>1250</v>
      </c>
      <c r="H426" s="6">
        <f t="shared" si="19"/>
        <v>1136</v>
      </c>
      <c r="I426" s="6">
        <f t="shared" si="20"/>
        <v>162</v>
      </c>
    </row>
    <row r="427" spans="1:9" ht="14.25" customHeight="1" x14ac:dyDescent="0.35">
      <c r="A427" s="2" t="s">
        <v>420</v>
      </c>
      <c r="B427" s="3">
        <v>2002</v>
      </c>
      <c r="C427" s="3">
        <v>2018</v>
      </c>
      <c r="D427" s="3">
        <f>(C427-B427)</f>
        <v>16</v>
      </c>
      <c r="E427" s="4">
        <v>17</v>
      </c>
      <c r="F427" s="4">
        <v>45</v>
      </c>
      <c r="G427" s="5">
        <f t="shared" si="18"/>
        <v>28</v>
      </c>
      <c r="H427" s="6">
        <f t="shared" si="19"/>
        <v>164</v>
      </c>
      <c r="I427" s="6">
        <f t="shared" si="20"/>
        <v>10</v>
      </c>
    </row>
    <row r="428" spans="1:9" ht="14.25" customHeight="1" x14ac:dyDescent="0.35">
      <c r="A428" s="2" t="s">
        <v>270</v>
      </c>
      <c r="B428" s="3">
        <v>2015</v>
      </c>
      <c r="C428" s="3">
        <v>2018</v>
      </c>
      <c r="D428" s="3">
        <f>(C428-B428)</f>
        <v>3</v>
      </c>
      <c r="E428" s="4">
        <v>320</v>
      </c>
      <c r="F428" s="4">
        <v>595</v>
      </c>
      <c r="G428" s="5">
        <f t="shared" si="18"/>
        <v>275</v>
      </c>
      <c r="H428" s="6">
        <f t="shared" si="19"/>
        <v>85</v>
      </c>
      <c r="I428" s="6">
        <f t="shared" si="20"/>
        <v>28</v>
      </c>
    </row>
    <row r="429" spans="1:9" ht="14.25" customHeight="1" x14ac:dyDescent="0.35">
      <c r="A429" s="2" t="s">
        <v>387</v>
      </c>
      <c r="B429" s="3">
        <v>2007</v>
      </c>
      <c r="C429" s="3">
        <v>2018</v>
      </c>
      <c r="D429" s="3">
        <f>(C429-B429)</f>
        <v>11</v>
      </c>
      <c r="E429" s="4">
        <v>90</v>
      </c>
      <c r="F429" s="4">
        <v>148</v>
      </c>
      <c r="G429" s="5">
        <f t="shared" si="18"/>
        <v>58</v>
      </c>
      <c r="H429" s="6">
        <f t="shared" si="19"/>
        <v>64</v>
      </c>
      <c r="I429" s="6">
        <f t="shared" si="20"/>
        <v>5</v>
      </c>
    </row>
    <row r="430" spans="1:9" ht="14.25" customHeight="1" x14ac:dyDescent="0.35">
      <c r="A430" s="2" t="s">
        <v>44</v>
      </c>
      <c r="B430" s="3">
        <v>2002</v>
      </c>
      <c r="C430" s="3">
        <v>2018</v>
      </c>
      <c r="D430" s="3">
        <f>(C430-B430)</f>
        <v>16</v>
      </c>
      <c r="E430" s="4">
        <v>61</v>
      </c>
      <c r="F430" s="4">
        <v>600</v>
      </c>
      <c r="G430" s="5">
        <f t="shared" si="18"/>
        <v>539</v>
      </c>
      <c r="H430" s="6">
        <f t="shared" si="19"/>
        <v>883</v>
      </c>
      <c r="I430" s="6">
        <f t="shared" si="20"/>
        <v>55</v>
      </c>
    </row>
    <row r="431" spans="1:9" ht="14.25" customHeight="1" x14ac:dyDescent="0.35">
      <c r="A431" s="2" t="s">
        <v>388</v>
      </c>
      <c r="B431" s="3">
        <v>2002</v>
      </c>
      <c r="C431" s="3">
        <v>2018</v>
      </c>
      <c r="D431" s="3">
        <f>(C431-B431)</f>
        <v>16</v>
      </c>
      <c r="E431" s="4">
        <v>9</v>
      </c>
      <c r="F431" s="4">
        <v>93</v>
      </c>
      <c r="G431" s="5">
        <f t="shared" si="18"/>
        <v>84</v>
      </c>
      <c r="H431" s="6">
        <f t="shared" si="19"/>
        <v>933</v>
      </c>
      <c r="I431" s="6">
        <f t="shared" si="20"/>
        <v>58</v>
      </c>
    </row>
    <row r="432" spans="1:9" ht="14.25" customHeight="1" x14ac:dyDescent="0.35">
      <c r="A432" s="2" t="s">
        <v>282</v>
      </c>
      <c r="B432" s="3">
        <v>2002</v>
      </c>
      <c r="C432" s="3">
        <v>2018</v>
      </c>
      <c r="D432" s="3">
        <f>(C432-B432)</f>
        <v>16</v>
      </c>
      <c r="E432" s="4">
        <v>67</v>
      </c>
      <c r="F432" s="4">
        <v>982</v>
      </c>
      <c r="G432" s="5">
        <f t="shared" si="18"/>
        <v>915</v>
      </c>
      <c r="H432" s="6">
        <f t="shared" si="19"/>
        <v>1365</v>
      </c>
      <c r="I432" s="6">
        <f t="shared" si="20"/>
        <v>85</v>
      </c>
    </row>
    <row r="433" spans="1:9" ht="14.25" customHeight="1" x14ac:dyDescent="0.35">
      <c r="A433" s="2" t="s">
        <v>137</v>
      </c>
      <c r="B433" s="3">
        <v>2002</v>
      </c>
      <c r="C433" s="3">
        <v>2018</v>
      </c>
      <c r="D433" s="3">
        <f>(C433-B433)</f>
        <v>16</v>
      </c>
      <c r="E433" s="4">
        <v>21</v>
      </c>
      <c r="F433" s="4">
        <v>211</v>
      </c>
      <c r="G433" s="5">
        <f t="shared" si="18"/>
        <v>190</v>
      </c>
      <c r="H433" s="6">
        <f t="shared" si="19"/>
        <v>904</v>
      </c>
      <c r="I433" s="6">
        <f t="shared" si="20"/>
        <v>56</v>
      </c>
    </row>
    <row r="434" spans="1:9" ht="14.25" customHeight="1" x14ac:dyDescent="0.35">
      <c r="A434" s="2" t="s">
        <v>285</v>
      </c>
      <c r="B434" s="3">
        <v>2002</v>
      </c>
      <c r="C434" s="3">
        <v>2018</v>
      </c>
      <c r="D434" s="3">
        <f>(C434-B434)</f>
        <v>16</v>
      </c>
      <c r="E434" s="4">
        <v>56</v>
      </c>
      <c r="F434" s="4">
        <v>854</v>
      </c>
      <c r="G434" s="5">
        <f t="shared" si="18"/>
        <v>798</v>
      </c>
      <c r="H434" s="6">
        <f t="shared" si="19"/>
        <v>1425</v>
      </c>
      <c r="I434" s="6">
        <f t="shared" si="20"/>
        <v>89</v>
      </c>
    </row>
    <row r="435" spans="1:9" ht="14.25" customHeight="1" x14ac:dyDescent="0.35">
      <c r="A435" s="2" t="s">
        <v>120</v>
      </c>
      <c r="B435" s="3">
        <v>2002</v>
      </c>
      <c r="C435" s="3">
        <v>2018</v>
      </c>
      <c r="D435" s="3">
        <f>(C435-B435)</f>
        <v>16</v>
      </c>
      <c r="E435" s="4">
        <v>31</v>
      </c>
      <c r="F435" s="4">
        <v>204</v>
      </c>
      <c r="G435" s="5">
        <f t="shared" si="18"/>
        <v>173</v>
      </c>
      <c r="H435" s="6">
        <f t="shared" si="19"/>
        <v>558</v>
      </c>
      <c r="I435" s="6">
        <f t="shared" si="20"/>
        <v>34</v>
      </c>
    </row>
    <row r="436" spans="1:9" ht="14.25" customHeight="1" x14ac:dyDescent="0.35">
      <c r="A436" s="2" t="s">
        <v>389</v>
      </c>
      <c r="B436" s="3">
        <v>2008</v>
      </c>
      <c r="C436" s="3">
        <v>2018</v>
      </c>
      <c r="D436" s="3">
        <f>(C436-B436)</f>
        <v>10</v>
      </c>
      <c r="E436" s="4">
        <v>48</v>
      </c>
      <c r="F436" s="4">
        <v>98</v>
      </c>
      <c r="G436" s="5">
        <f t="shared" si="18"/>
        <v>50</v>
      </c>
      <c r="H436" s="6">
        <f t="shared" si="19"/>
        <v>104</v>
      </c>
      <c r="I436" s="6">
        <f t="shared" si="20"/>
        <v>10</v>
      </c>
    </row>
    <row r="437" spans="1:9" ht="14.25" customHeight="1" x14ac:dyDescent="0.35">
      <c r="A437" s="2" t="s">
        <v>12</v>
      </c>
      <c r="B437" s="3">
        <v>2002</v>
      </c>
      <c r="C437" s="3">
        <v>2018</v>
      </c>
      <c r="D437" s="3">
        <f>(C437-B437)</f>
        <v>16</v>
      </c>
      <c r="E437" s="4">
        <v>12</v>
      </c>
      <c r="F437" s="4">
        <v>74</v>
      </c>
      <c r="G437" s="5">
        <f t="shared" si="18"/>
        <v>62</v>
      </c>
      <c r="H437" s="6">
        <f t="shared" si="19"/>
        <v>516</v>
      </c>
      <c r="I437" s="6">
        <f t="shared" si="20"/>
        <v>32</v>
      </c>
    </row>
    <row r="438" spans="1:9" ht="14.25" customHeight="1" x14ac:dyDescent="0.35">
      <c r="A438" s="2" t="s">
        <v>232</v>
      </c>
      <c r="B438" s="3">
        <v>2002</v>
      </c>
      <c r="C438" s="3">
        <v>2018</v>
      </c>
      <c r="D438" s="3">
        <f>(C438-B438)</f>
        <v>16</v>
      </c>
      <c r="E438" s="4">
        <v>42</v>
      </c>
      <c r="F438" s="4">
        <v>771</v>
      </c>
      <c r="G438" s="5">
        <f t="shared" si="18"/>
        <v>729</v>
      </c>
      <c r="H438" s="6">
        <f t="shared" si="19"/>
        <v>1735</v>
      </c>
      <c r="I438" s="6">
        <f t="shared" si="20"/>
        <v>108</v>
      </c>
    </row>
    <row r="439" spans="1:9" ht="14.25" customHeight="1" x14ac:dyDescent="0.35">
      <c r="A439" s="2" t="s">
        <v>123</v>
      </c>
      <c r="B439" s="3">
        <v>1999</v>
      </c>
      <c r="C439" s="3">
        <v>2018</v>
      </c>
      <c r="D439" s="3">
        <f>(C439-B439)</f>
        <v>19</v>
      </c>
      <c r="E439" s="4">
        <v>69</v>
      </c>
      <c r="F439" s="4">
        <v>532</v>
      </c>
      <c r="G439" s="5">
        <f t="shared" si="18"/>
        <v>463</v>
      </c>
      <c r="H439" s="6">
        <f t="shared" si="19"/>
        <v>671</v>
      </c>
      <c r="I439" s="6">
        <f t="shared" si="20"/>
        <v>35</v>
      </c>
    </row>
    <row r="440" spans="1:9" ht="14.25" customHeight="1" x14ac:dyDescent="0.35">
      <c r="A440" s="2" t="s">
        <v>126</v>
      </c>
      <c r="B440" s="3">
        <v>2004</v>
      </c>
      <c r="C440" s="3">
        <v>2018</v>
      </c>
      <c r="D440" s="3">
        <f>(C440-B440)</f>
        <v>14</v>
      </c>
      <c r="E440" s="4">
        <v>120</v>
      </c>
      <c r="F440" s="4">
        <v>2080</v>
      </c>
      <c r="G440" s="5">
        <f t="shared" si="18"/>
        <v>1960</v>
      </c>
      <c r="H440" s="6">
        <f t="shared" si="19"/>
        <v>1633</v>
      </c>
      <c r="I440" s="6">
        <f t="shared" si="20"/>
        <v>116</v>
      </c>
    </row>
    <row r="441" spans="1:9" ht="14.25" customHeight="1" x14ac:dyDescent="0.35">
      <c r="A441" s="2" t="s">
        <v>244</v>
      </c>
      <c r="B441" s="3">
        <v>2016</v>
      </c>
      <c r="C441" s="3">
        <v>2018</v>
      </c>
      <c r="D441" s="3">
        <f>(C441-B441)</f>
        <v>2</v>
      </c>
      <c r="E441" s="4">
        <v>1032</v>
      </c>
      <c r="F441" s="4">
        <v>3006</v>
      </c>
      <c r="G441" s="5">
        <f t="shared" si="18"/>
        <v>1974</v>
      </c>
      <c r="H441" s="6">
        <f t="shared" si="19"/>
        <v>191</v>
      </c>
      <c r="I441" s="6">
        <f t="shared" si="20"/>
        <v>95</v>
      </c>
    </row>
    <row r="442" spans="1:9" ht="14.25" customHeight="1" x14ac:dyDescent="0.35">
      <c r="A442" s="2" t="s">
        <v>129</v>
      </c>
      <c r="B442" s="3">
        <v>2006</v>
      </c>
      <c r="C442" s="3">
        <v>2018</v>
      </c>
      <c r="D442" s="3">
        <f>(C442-B442)</f>
        <v>12</v>
      </c>
      <c r="E442" s="4">
        <v>135</v>
      </c>
      <c r="F442" s="4">
        <v>791</v>
      </c>
      <c r="G442" s="5">
        <f t="shared" si="18"/>
        <v>656</v>
      </c>
      <c r="H442" s="6">
        <f t="shared" si="19"/>
        <v>485</v>
      </c>
      <c r="I442" s="6">
        <f t="shared" si="20"/>
        <v>40</v>
      </c>
    </row>
    <row r="443" spans="1:9" ht="14.25" customHeight="1" x14ac:dyDescent="0.35">
      <c r="A443" s="2" t="s">
        <v>430</v>
      </c>
      <c r="B443" s="3">
        <v>2011</v>
      </c>
      <c r="C443" s="3">
        <v>2018</v>
      </c>
      <c r="D443" s="3">
        <f>(C443-B443)</f>
        <v>7</v>
      </c>
      <c r="E443" s="4">
        <v>68</v>
      </c>
      <c r="F443" s="4">
        <v>70</v>
      </c>
      <c r="G443" s="5">
        <f t="shared" si="18"/>
        <v>2</v>
      </c>
      <c r="H443" s="6">
        <f t="shared" si="19"/>
        <v>2</v>
      </c>
      <c r="I443" s="6">
        <f t="shared" si="20"/>
        <v>0</v>
      </c>
    </row>
    <row r="444" spans="1:9" ht="14.25" customHeight="1" x14ac:dyDescent="0.35">
      <c r="A444" s="2" t="s">
        <v>156</v>
      </c>
      <c r="B444" s="3">
        <v>2001</v>
      </c>
      <c r="C444" s="3">
        <v>2018</v>
      </c>
      <c r="D444" s="3">
        <f>(C444-B444)</f>
        <v>17</v>
      </c>
      <c r="E444" s="4">
        <v>4</v>
      </c>
      <c r="F444" s="4">
        <v>940</v>
      </c>
      <c r="G444" s="5">
        <f t="shared" si="18"/>
        <v>936</v>
      </c>
      <c r="H444" s="6">
        <f t="shared" si="19"/>
        <v>23400</v>
      </c>
      <c r="I444" s="6">
        <f t="shared" si="20"/>
        <v>1376</v>
      </c>
    </row>
    <row r="445" spans="1:9" ht="14.25" customHeight="1" x14ac:dyDescent="0.35">
      <c r="A445" s="2" t="s">
        <v>349</v>
      </c>
      <c r="B445" s="3">
        <v>2000</v>
      </c>
      <c r="C445" s="3">
        <v>2018</v>
      </c>
      <c r="D445" s="3">
        <f>(C445-B445)</f>
        <v>18</v>
      </c>
      <c r="E445" s="4">
        <v>48</v>
      </c>
      <c r="F445" s="4">
        <v>250</v>
      </c>
      <c r="G445" s="5">
        <f t="shared" si="18"/>
        <v>202</v>
      </c>
      <c r="H445" s="6">
        <f t="shared" si="19"/>
        <v>420</v>
      </c>
      <c r="I445" s="6">
        <f t="shared" si="20"/>
        <v>23</v>
      </c>
    </row>
    <row r="446" spans="1:9" ht="14.25" customHeight="1" x14ac:dyDescent="0.35">
      <c r="A446" s="2" t="s">
        <v>477</v>
      </c>
      <c r="B446" s="3">
        <v>2016</v>
      </c>
      <c r="C446" s="3">
        <v>2018</v>
      </c>
      <c r="D446" s="3">
        <f>(C446-B446)</f>
        <v>2</v>
      </c>
      <c r="E446" s="4">
        <v>625</v>
      </c>
      <c r="F446" s="4">
        <v>531</v>
      </c>
      <c r="G446" s="5">
        <f t="shared" si="18"/>
        <v>-94</v>
      </c>
      <c r="H446" s="6">
        <f t="shared" si="19"/>
        <v>-16</v>
      </c>
      <c r="I446" s="6">
        <f t="shared" si="20"/>
        <v>-8</v>
      </c>
    </row>
    <row r="447" spans="1:9" ht="14.25" customHeight="1" x14ac:dyDescent="0.35">
      <c r="A447" s="2" t="s">
        <v>482</v>
      </c>
      <c r="B447" s="3">
        <v>2017</v>
      </c>
      <c r="C447" s="3">
        <v>2018</v>
      </c>
      <c r="D447" s="3">
        <f>(C447-B447)</f>
        <v>1</v>
      </c>
      <c r="E447" s="4">
        <v>564</v>
      </c>
      <c r="F447" s="4">
        <v>490</v>
      </c>
      <c r="G447" s="5">
        <f t="shared" si="18"/>
        <v>-74</v>
      </c>
      <c r="H447" s="6">
        <f t="shared" si="19"/>
        <v>-14</v>
      </c>
      <c r="I447" s="6">
        <f t="shared" si="20"/>
        <v>-14</v>
      </c>
    </row>
    <row r="448" spans="1:9" ht="14.25" customHeight="1" x14ac:dyDescent="0.35">
      <c r="A448" s="2" t="s">
        <v>262</v>
      </c>
      <c r="B448" s="3">
        <v>2017</v>
      </c>
      <c r="C448" s="3">
        <v>2018</v>
      </c>
      <c r="D448" s="3">
        <f>(C448-B448)</f>
        <v>1</v>
      </c>
      <c r="E448" s="4">
        <v>253</v>
      </c>
      <c r="F448" s="4">
        <v>390</v>
      </c>
      <c r="G448" s="5">
        <f t="shared" si="18"/>
        <v>137</v>
      </c>
      <c r="H448" s="6">
        <f t="shared" si="19"/>
        <v>54</v>
      </c>
      <c r="I448" s="6">
        <f t="shared" si="20"/>
        <v>54</v>
      </c>
    </row>
    <row r="449" spans="1:9" ht="14.25" customHeight="1" x14ac:dyDescent="0.35">
      <c r="A449" s="2" t="s">
        <v>400</v>
      </c>
      <c r="B449" s="3">
        <v>2007</v>
      </c>
      <c r="C449" s="3">
        <v>2018</v>
      </c>
      <c r="D449" s="3">
        <f>(C449-B449)</f>
        <v>11</v>
      </c>
      <c r="E449" s="4">
        <v>57</v>
      </c>
      <c r="F449" s="4">
        <v>103</v>
      </c>
      <c r="G449" s="5">
        <f t="shared" si="18"/>
        <v>46</v>
      </c>
      <c r="H449" s="6">
        <f t="shared" si="19"/>
        <v>80</v>
      </c>
      <c r="I449" s="6">
        <f t="shared" si="20"/>
        <v>7</v>
      </c>
    </row>
    <row r="450" spans="1:9" ht="14.25" customHeight="1" x14ac:dyDescent="0.35">
      <c r="A450" s="2" t="s">
        <v>312</v>
      </c>
      <c r="B450" s="3">
        <v>1999</v>
      </c>
      <c r="C450" s="3">
        <v>2018</v>
      </c>
      <c r="D450" s="3">
        <f>(C450-B450)</f>
        <v>19</v>
      </c>
      <c r="E450" s="4">
        <v>60</v>
      </c>
      <c r="F450" s="4">
        <v>609</v>
      </c>
      <c r="G450" s="5">
        <f t="shared" si="18"/>
        <v>549</v>
      </c>
      <c r="H450" s="6">
        <f t="shared" si="19"/>
        <v>915</v>
      </c>
      <c r="I450" s="6">
        <f t="shared" si="20"/>
        <v>48</v>
      </c>
    </row>
    <row r="451" spans="1:9" ht="14.25" customHeight="1" x14ac:dyDescent="0.35">
      <c r="A451" s="2" t="s">
        <v>132</v>
      </c>
      <c r="B451" s="3">
        <v>2002</v>
      </c>
      <c r="C451" s="3">
        <v>2018</v>
      </c>
      <c r="D451" s="3">
        <f>(C451-B451)</f>
        <v>16</v>
      </c>
      <c r="E451" s="4">
        <v>4</v>
      </c>
      <c r="F451" s="4">
        <v>1114</v>
      </c>
      <c r="G451" s="5">
        <f t="shared" ref="G451:G491" si="21">INT((F451-E451))</f>
        <v>1110</v>
      </c>
      <c r="H451" s="6">
        <f t="shared" ref="H451:H491" si="22">INT(G451*100/E451)</f>
        <v>27750</v>
      </c>
      <c r="I451" s="6">
        <f t="shared" ref="I451:I491" si="23">INT(H451/D451)</f>
        <v>1734</v>
      </c>
    </row>
    <row r="452" spans="1:9" ht="14.25" customHeight="1" x14ac:dyDescent="0.35">
      <c r="A452" s="2" t="s">
        <v>356</v>
      </c>
      <c r="B452" s="3">
        <v>2002</v>
      </c>
      <c r="C452" s="3">
        <v>2018</v>
      </c>
      <c r="D452" s="3">
        <f>(C452-B452)</f>
        <v>16</v>
      </c>
      <c r="E452" s="4">
        <v>53</v>
      </c>
      <c r="F452" s="4">
        <v>213</v>
      </c>
      <c r="G452" s="5">
        <f t="shared" si="21"/>
        <v>160</v>
      </c>
      <c r="H452" s="6">
        <f t="shared" si="22"/>
        <v>301</v>
      </c>
      <c r="I452" s="6">
        <f t="shared" si="23"/>
        <v>18</v>
      </c>
    </row>
    <row r="453" spans="1:9" ht="14.25" customHeight="1" x14ac:dyDescent="0.35">
      <c r="A453" s="2" t="s">
        <v>59</v>
      </c>
      <c r="B453" s="3">
        <v>2002</v>
      </c>
      <c r="C453" s="3">
        <v>2018</v>
      </c>
      <c r="D453" s="3">
        <f>(C453-B453)</f>
        <v>16</v>
      </c>
      <c r="E453" s="4">
        <v>27</v>
      </c>
      <c r="F453" s="4">
        <v>1890</v>
      </c>
      <c r="G453" s="5">
        <f t="shared" si="21"/>
        <v>1863</v>
      </c>
      <c r="H453" s="6">
        <f t="shared" si="22"/>
        <v>6900</v>
      </c>
      <c r="I453" s="6">
        <f t="shared" si="23"/>
        <v>431</v>
      </c>
    </row>
    <row r="454" spans="1:9" ht="14.25" customHeight="1" x14ac:dyDescent="0.35">
      <c r="A454" s="2" t="s">
        <v>337</v>
      </c>
      <c r="B454" s="3">
        <v>2006</v>
      </c>
      <c r="C454" s="3">
        <v>2018</v>
      </c>
      <c r="D454" s="3">
        <f>(C454-B454)</f>
        <v>12</v>
      </c>
      <c r="E454" s="4">
        <v>84</v>
      </c>
      <c r="F454" s="4">
        <v>263</v>
      </c>
      <c r="G454" s="5">
        <f t="shared" si="21"/>
        <v>179</v>
      </c>
      <c r="H454" s="6">
        <f t="shared" si="22"/>
        <v>213</v>
      </c>
      <c r="I454" s="6">
        <f t="shared" si="23"/>
        <v>17</v>
      </c>
    </row>
    <row r="455" spans="1:9" ht="14.25" customHeight="1" x14ac:dyDescent="0.35">
      <c r="A455" s="2" t="s">
        <v>236</v>
      </c>
      <c r="B455" s="3">
        <v>2002</v>
      </c>
      <c r="C455" s="3">
        <v>2018</v>
      </c>
      <c r="D455" s="3">
        <f>(C455-B455)</f>
        <v>16</v>
      </c>
      <c r="E455" s="4">
        <v>15</v>
      </c>
      <c r="F455" s="4">
        <v>363</v>
      </c>
      <c r="G455" s="5">
        <f t="shared" si="21"/>
        <v>348</v>
      </c>
      <c r="H455" s="6">
        <f t="shared" si="22"/>
        <v>2320</v>
      </c>
      <c r="I455" s="6">
        <f t="shared" si="23"/>
        <v>145</v>
      </c>
    </row>
    <row r="456" spans="1:9" ht="14.25" customHeight="1" x14ac:dyDescent="0.35">
      <c r="A456" s="2" t="s">
        <v>405</v>
      </c>
      <c r="B456" s="3">
        <v>2002</v>
      </c>
      <c r="C456" s="3">
        <v>2018</v>
      </c>
      <c r="D456" s="3">
        <f>(C456-B456)</f>
        <v>16</v>
      </c>
      <c r="E456" s="4">
        <v>8</v>
      </c>
      <c r="F456" s="4">
        <v>70</v>
      </c>
      <c r="G456" s="5">
        <f t="shared" si="21"/>
        <v>62</v>
      </c>
      <c r="H456" s="6">
        <f t="shared" si="22"/>
        <v>775</v>
      </c>
      <c r="I456" s="6">
        <f t="shared" si="23"/>
        <v>48</v>
      </c>
    </row>
    <row r="457" spans="1:9" ht="14.25" customHeight="1" x14ac:dyDescent="0.35">
      <c r="A457" s="2" t="s">
        <v>153</v>
      </c>
      <c r="B457" s="3">
        <v>2002</v>
      </c>
      <c r="C457" s="3">
        <v>2018</v>
      </c>
      <c r="D457" s="3">
        <f>(C457-B457)</f>
        <v>16</v>
      </c>
      <c r="E457" s="4">
        <v>20</v>
      </c>
      <c r="F457" s="4">
        <v>8600</v>
      </c>
      <c r="G457" s="5">
        <f t="shared" si="21"/>
        <v>8580</v>
      </c>
      <c r="H457" s="6">
        <f t="shared" si="22"/>
        <v>42900</v>
      </c>
      <c r="I457" s="6">
        <f t="shared" si="23"/>
        <v>2681</v>
      </c>
    </row>
    <row r="458" spans="1:9" ht="14.25" customHeight="1" x14ac:dyDescent="0.35">
      <c r="A458" s="2" t="s">
        <v>452</v>
      </c>
      <c r="B458" s="3">
        <v>2007</v>
      </c>
      <c r="C458" s="3">
        <v>2018</v>
      </c>
      <c r="D458" s="3">
        <f>(C458-B458)</f>
        <v>11</v>
      </c>
      <c r="E458" s="4">
        <v>96</v>
      </c>
      <c r="F458" s="4">
        <v>35</v>
      </c>
      <c r="G458" s="5">
        <f t="shared" si="21"/>
        <v>-61</v>
      </c>
      <c r="H458" s="6">
        <f t="shared" si="22"/>
        <v>-64</v>
      </c>
      <c r="I458" s="6">
        <f t="shared" si="23"/>
        <v>-6</v>
      </c>
    </row>
    <row r="459" spans="1:9" ht="14.25" customHeight="1" x14ac:dyDescent="0.35">
      <c r="A459" s="2" t="s">
        <v>65</v>
      </c>
      <c r="B459" s="3">
        <v>2002</v>
      </c>
      <c r="C459" s="3">
        <v>2018</v>
      </c>
      <c r="D459" s="3">
        <f>(C459-B459)</f>
        <v>16</v>
      </c>
      <c r="E459" s="4">
        <v>27</v>
      </c>
      <c r="F459" s="4">
        <v>494</v>
      </c>
      <c r="G459" s="5">
        <f t="shared" si="21"/>
        <v>467</v>
      </c>
      <c r="H459" s="6">
        <f t="shared" si="22"/>
        <v>1729</v>
      </c>
      <c r="I459" s="6">
        <f t="shared" si="23"/>
        <v>108</v>
      </c>
    </row>
    <row r="460" spans="1:9" ht="14.25" customHeight="1" x14ac:dyDescent="0.35">
      <c r="A460" s="2" t="s">
        <v>206</v>
      </c>
      <c r="B460" s="3">
        <v>1999</v>
      </c>
      <c r="C460" s="3">
        <v>2018</v>
      </c>
      <c r="D460" s="3">
        <f>(C460-B460)</f>
        <v>19</v>
      </c>
      <c r="E460" s="4">
        <v>39</v>
      </c>
      <c r="F460" s="4">
        <v>2210</v>
      </c>
      <c r="G460" s="5">
        <f t="shared" si="21"/>
        <v>2171</v>
      </c>
      <c r="H460" s="6">
        <f t="shared" si="22"/>
        <v>5566</v>
      </c>
      <c r="I460" s="6">
        <f t="shared" si="23"/>
        <v>292</v>
      </c>
    </row>
    <row r="461" spans="1:9" ht="14.25" customHeight="1" x14ac:dyDescent="0.35">
      <c r="A461" s="2" t="s">
        <v>361</v>
      </c>
      <c r="B461" s="3">
        <v>2004</v>
      </c>
      <c r="C461" s="3">
        <v>2018</v>
      </c>
      <c r="D461" s="3">
        <f>(C461-B461)</f>
        <v>14</v>
      </c>
      <c r="E461" s="4">
        <v>182</v>
      </c>
      <c r="F461" s="4">
        <v>315</v>
      </c>
      <c r="G461" s="5">
        <f t="shared" si="21"/>
        <v>133</v>
      </c>
      <c r="H461" s="6">
        <f t="shared" si="22"/>
        <v>73</v>
      </c>
      <c r="I461" s="6">
        <f t="shared" si="23"/>
        <v>5</v>
      </c>
    </row>
    <row r="462" spans="1:9" ht="14.25" customHeight="1" x14ac:dyDescent="0.35">
      <c r="A462" s="2" t="s">
        <v>113</v>
      </c>
      <c r="B462" s="3">
        <v>2008</v>
      </c>
      <c r="C462" s="3">
        <v>2018</v>
      </c>
      <c r="D462" s="3">
        <f>(C462-B462)</f>
        <v>10</v>
      </c>
      <c r="E462" s="4">
        <v>153</v>
      </c>
      <c r="F462" s="4">
        <v>1406</v>
      </c>
      <c r="G462" s="5">
        <f t="shared" si="21"/>
        <v>1253</v>
      </c>
      <c r="H462" s="6">
        <f t="shared" si="22"/>
        <v>818</v>
      </c>
      <c r="I462" s="6">
        <f t="shared" si="23"/>
        <v>81</v>
      </c>
    </row>
    <row r="463" spans="1:9" ht="14.25" customHeight="1" x14ac:dyDescent="0.35">
      <c r="A463" s="2" t="s">
        <v>431</v>
      </c>
      <c r="B463" s="3">
        <v>2003</v>
      </c>
      <c r="C463" s="3">
        <v>2018</v>
      </c>
      <c r="D463" s="3">
        <f>(C463-B463)</f>
        <v>15</v>
      </c>
      <c r="E463" s="4">
        <v>19</v>
      </c>
      <c r="F463" s="4">
        <v>19</v>
      </c>
      <c r="G463" s="5">
        <f t="shared" si="21"/>
        <v>0</v>
      </c>
      <c r="H463" s="6">
        <f t="shared" si="22"/>
        <v>0</v>
      </c>
      <c r="I463" s="6">
        <f t="shared" si="23"/>
        <v>0</v>
      </c>
    </row>
    <row r="464" spans="1:9" ht="14.25" customHeight="1" x14ac:dyDescent="0.35">
      <c r="A464" s="2" t="s">
        <v>343</v>
      </c>
      <c r="B464" s="3">
        <v>2002</v>
      </c>
      <c r="C464" s="3">
        <v>2018</v>
      </c>
      <c r="D464" s="3">
        <f>(C464-B464)</f>
        <v>16</v>
      </c>
      <c r="E464" s="4">
        <v>30</v>
      </c>
      <c r="F464" s="4">
        <v>235</v>
      </c>
      <c r="G464" s="5">
        <f t="shared" si="21"/>
        <v>205</v>
      </c>
      <c r="H464" s="6">
        <f t="shared" si="22"/>
        <v>683</v>
      </c>
      <c r="I464" s="6">
        <f t="shared" si="23"/>
        <v>42</v>
      </c>
    </row>
    <row r="465" spans="1:9" ht="14.25" customHeight="1" x14ac:dyDescent="0.35">
      <c r="A465" s="2" t="s">
        <v>295</v>
      </c>
      <c r="B465" s="3">
        <v>2016</v>
      </c>
      <c r="C465" s="3">
        <v>2018</v>
      </c>
      <c r="D465" s="3">
        <f>(C465-B465)</f>
        <v>2</v>
      </c>
      <c r="E465" s="4">
        <v>251</v>
      </c>
      <c r="F465" s="4">
        <v>334</v>
      </c>
      <c r="G465" s="5">
        <f t="shared" si="21"/>
        <v>83</v>
      </c>
      <c r="H465" s="6">
        <f t="shared" si="22"/>
        <v>33</v>
      </c>
      <c r="I465" s="6">
        <f t="shared" si="23"/>
        <v>16</v>
      </c>
    </row>
    <row r="466" spans="1:9" ht="14.25" customHeight="1" x14ac:dyDescent="0.35">
      <c r="A466" s="2" t="s">
        <v>135</v>
      </c>
      <c r="B466" s="3">
        <v>2004</v>
      </c>
      <c r="C466" s="3">
        <v>2018</v>
      </c>
      <c r="D466" s="3">
        <f>(C466-B466)</f>
        <v>14</v>
      </c>
      <c r="E466" s="4">
        <v>262</v>
      </c>
      <c r="F466" s="4">
        <v>4020</v>
      </c>
      <c r="G466" s="5">
        <f t="shared" si="21"/>
        <v>3758</v>
      </c>
      <c r="H466" s="6">
        <f t="shared" si="22"/>
        <v>1434</v>
      </c>
      <c r="I466" s="6">
        <f t="shared" si="23"/>
        <v>102</v>
      </c>
    </row>
    <row r="467" spans="1:9" ht="14.25" customHeight="1" x14ac:dyDescent="0.35">
      <c r="A467" s="2" t="s">
        <v>357</v>
      </c>
      <c r="B467" s="3">
        <v>2002</v>
      </c>
      <c r="C467" s="3">
        <v>2018</v>
      </c>
      <c r="D467" s="3">
        <f>(C467-B467)</f>
        <v>16</v>
      </c>
      <c r="E467" s="4">
        <v>25</v>
      </c>
      <c r="F467" s="4">
        <v>195</v>
      </c>
      <c r="G467" s="5">
        <f t="shared" si="21"/>
        <v>170</v>
      </c>
      <c r="H467" s="6">
        <f t="shared" si="22"/>
        <v>680</v>
      </c>
      <c r="I467" s="6">
        <f t="shared" si="23"/>
        <v>42</v>
      </c>
    </row>
    <row r="468" spans="1:9" ht="14.25" customHeight="1" x14ac:dyDescent="0.35">
      <c r="A468" s="2" t="s">
        <v>98</v>
      </c>
      <c r="B468" s="3">
        <v>2002</v>
      </c>
      <c r="C468" s="3">
        <v>2018</v>
      </c>
      <c r="D468" s="3">
        <f>(C468-B468)</f>
        <v>16</v>
      </c>
      <c r="E468" s="4">
        <v>15</v>
      </c>
      <c r="F468" s="4">
        <v>99</v>
      </c>
      <c r="G468" s="5">
        <f t="shared" si="21"/>
        <v>84</v>
      </c>
      <c r="H468" s="6">
        <f t="shared" si="22"/>
        <v>560</v>
      </c>
      <c r="I468" s="6">
        <f t="shared" si="23"/>
        <v>35</v>
      </c>
    </row>
    <row r="469" spans="1:9" ht="14.25" customHeight="1" x14ac:dyDescent="0.35">
      <c r="A469" s="2" t="s">
        <v>138</v>
      </c>
      <c r="B469" s="3">
        <v>2002</v>
      </c>
      <c r="C469" s="3">
        <v>2018</v>
      </c>
      <c r="D469" s="3">
        <f>(C469-B469)</f>
        <v>16</v>
      </c>
      <c r="E469" s="4">
        <v>2</v>
      </c>
      <c r="F469" s="4">
        <v>926</v>
      </c>
      <c r="G469" s="5">
        <f t="shared" si="21"/>
        <v>924</v>
      </c>
      <c r="H469" s="6">
        <f t="shared" si="22"/>
        <v>46200</v>
      </c>
      <c r="I469" s="6">
        <f t="shared" si="23"/>
        <v>2887</v>
      </c>
    </row>
    <row r="470" spans="1:9" ht="14.25" customHeight="1" x14ac:dyDescent="0.35">
      <c r="A470" s="2" t="s">
        <v>243</v>
      </c>
      <c r="B470" s="3">
        <v>2006</v>
      </c>
      <c r="C470" s="3">
        <v>2018</v>
      </c>
      <c r="D470" s="3">
        <f>(C470-B470)</f>
        <v>12</v>
      </c>
      <c r="E470" s="4">
        <v>3</v>
      </c>
      <c r="F470" s="4">
        <v>52</v>
      </c>
      <c r="G470" s="5">
        <f t="shared" si="21"/>
        <v>49</v>
      </c>
      <c r="H470" s="6">
        <f t="shared" si="22"/>
        <v>1633</v>
      </c>
      <c r="I470" s="6">
        <f t="shared" si="23"/>
        <v>136</v>
      </c>
    </row>
    <row r="471" spans="1:9" ht="14.25" customHeight="1" x14ac:dyDescent="0.35">
      <c r="A471" s="2" t="s">
        <v>252</v>
      </c>
      <c r="B471" s="3">
        <v>2016</v>
      </c>
      <c r="C471" s="3">
        <v>2018</v>
      </c>
      <c r="D471" s="3">
        <f>(C471-B471)</f>
        <v>2</v>
      </c>
      <c r="E471" s="4">
        <v>440</v>
      </c>
      <c r="F471" s="4">
        <v>909</v>
      </c>
      <c r="G471" s="5">
        <f t="shared" si="21"/>
        <v>469</v>
      </c>
      <c r="H471" s="6">
        <f t="shared" si="22"/>
        <v>106</v>
      </c>
      <c r="I471" s="6">
        <f t="shared" si="23"/>
        <v>53</v>
      </c>
    </row>
    <row r="472" spans="1:9" ht="14.25" customHeight="1" x14ac:dyDescent="0.35">
      <c r="A472" s="2" t="s">
        <v>141</v>
      </c>
      <c r="B472" s="3">
        <v>2002</v>
      </c>
      <c r="C472" s="3">
        <v>2018</v>
      </c>
      <c r="D472" s="3">
        <f>(C472-B472)</f>
        <v>16</v>
      </c>
      <c r="E472" s="4">
        <v>3</v>
      </c>
      <c r="F472" s="4">
        <v>188</v>
      </c>
      <c r="G472" s="5">
        <f t="shared" si="21"/>
        <v>185</v>
      </c>
      <c r="H472" s="6">
        <f t="shared" si="22"/>
        <v>6166</v>
      </c>
      <c r="I472" s="6">
        <f t="shared" si="23"/>
        <v>385</v>
      </c>
    </row>
    <row r="473" spans="1:9" ht="14.25" customHeight="1" x14ac:dyDescent="0.35">
      <c r="A473" s="2" t="s">
        <v>182</v>
      </c>
      <c r="B473" s="3">
        <v>2002</v>
      </c>
      <c r="C473" s="3">
        <v>2018</v>
      </c>
      <c r="D473" s="3">
        <f>(C473-B473)</f>
        <v>16</v>
      </c>
      <c r="E473" s="4">
        <v>32</v>
      </c>
      <c r="F473" s="4">
        <v>2257</v>
      </c>
      <c r="G473" s="5">
        <f t="shared" si="21"/>
        <v>2225</v>
      </c>
      <c r="H473" s="6">
        <f t="shared" si="22"/>
        <v>6953</v>
      </c>
      <c r="I473" s="6">
        <f t="shared" si="23"/>
        <v>434</v>
      </c>
    </row>
    <row r="474" spans="1:9" ht="14.25" customHeight="1" x14ac:dyDescent="0.35">
      <c r="A474" s="2" t="s">
        <v>189</v>
      </c>
      <c r="B474" s="3">
        <v>2008</v>
      </c>
      <c r="C474" s="3">
        <v>2018</v>
      </c>
      <c r="D474" s="3">
        <f>(C474-B474)</f>
        <v>10</v>
      </c>
      <c r="E474" s="4">
        <v>5</v>
      </c>
      <c r="F474" s="4">
        <v>218</v>
      </c>
      <c r="G474" s="5">
        <f t="shared" si="21"/>
        <v>213</v>
      </c>
      <c r="H474" s="6">
        <f t="shared" si="22"/>
        <v>4260</v>
      </c>
      <c r="I474" s="6">
        <f t="shared" si="23"/>
        <v>426</v>
      </c>
    </row>
    <row r="475" spans="1:9" ht="14.25" customHeight="1" x14ac:dyDescent="0.35">
      <c r="A475" s="2" t="s">
        <v>176</v>
      </c>
      <c r="B475" s="3">
        <v>2009</v>
      </c>
      <c r="C475" s="3">
        <v>2018</v>
      </c>
      <c r="D475" s="3">
        <f>(C475-B475)</f>
        <v>9</v>
      </c>
      <c r="E475" s="4">
        <v>31</v>
      </c>
      <c r="F475" s="4">
        <v>1690</v>
      </c>
      <c r="G475" s="5">
        <f t="shared" si="21"/>
        <v>1659</v>
      </c>
      <c r="H475" s="6">
        <f t="shared" si="22"/>
        <v>5351</v>
      </c>
      <c r="I475" s="6">
        <f t="shared" si="23"/>
        <v>594</v>
      </c>
    </row>
    <row r="476" spans="1:9" ht="14.25" customHeight="1" x14ac:dyDescent="0.35">
      <c r="A476" s="2" t="s">
        <v>178</v>
      </c>
      <c r="B476" s="3">
        <v>2002</v>
      </c>
      <c r="C476" s="3">
        <v>2018</v>
      </c>
      <c r="D476" s="3">
        <f>(C476-B476)</f>
        <v>16</v>
      </c>
      <c r="E476" s="4">
        <v>5</v>
      </c>
      <c r="F476" s="4">
        <v>470</v>
      </c>
      <c r="G476" s="5">
        <f t="shared" si="21"/>
        <v>465</v>
      </c>
      <c r="H476" s="6">
        <f t="shared" si="22"/>
        <v>9300</v>
      </c>
      <c r="I476" s="6">
        <f t="shared" si="23"/>
        <v>581</v>
      </c>
    </row>
    <row r="477" spans="1:9" ht="14.25" customHeight="1" x14ac:dyDescent="0.35">
      <c r="A477" s="2" t="s">
        <v>203</v>
      </c>
      <c r="B477" s="3">
        <v>2013</v>
      </c>
      <c r="C477" s="3">
        <v>2018</v>
      </c>
      <c r="D477" s="3">
        <f>(C477-B477)</f>
        <v>5</v>
      </c>
      <c r="E477" s="4">
        <v>194</v>
      </c>
      <c r="F477" s="4">
        <v>2715</v>
      </c>
      <c r="G477" s="5">
        <f t="shared" si="21"/>
        <v>2521</v>
      </c>
      <c r="H477" s="6">
        <f t="shared" si="22"/>
        <v>1299</v>
      </c>
      <c r="I477" s="6">
        <f t="shared" si="23"/>
        <v>259</v>
      </c>
    </row>
    <row r="478" spans="1:9" ht="14.25" customHeight="1" x14ac:dyDescent="0.35">
      <c r="A478" s="2" t="s">
        <v>122</v>
      </c>
      <c r="B478" s="3">
        <v>2002</v>
      </c>
      <c r="C478" s="3">
        <v>2018</v>
      </c>
      <c r="D478" s="3">
        <f>(C478-B478)</f>
        <v>16</v>
      </c>
      <c r="E478" s="4">
        <v>6</v>
      </c>
      <c r="F478" s="4">
        <v>622</v>
      </c>
      <c r="G478" s="5">
        <f t="shared" si="21"/>
        <v>616</v>
      </c>
      <c r="H478" s="6">
        <f t="shared" si="22"/>
        <v>10266</v>
      </c>
      <c r="I478" s="6">
        <f t="shared" si="23"/>
        <v>641</v>
      </c>
    </row>
    <row r="479" spans="1:9" ht="14.25" customHeight="1" x14ac:dyDescent="0.35">
      <c r="A479" s="2" t="s">
        <v>447</v>
      </c>
      <c r="B479" s="3">
        <v>2015</v>
      </c>
      <c r="C479" s="3">
        <v>2018</v>
      </c>
      <c r="D479" s="3">
        <f>(C479-B479)</f>
        <v>3</v>
      </c>
      <c r="E479" s="4">
        <v>294</v>
      </c>
      <c r="F479" s="4">
        <v>279</v>
      </c>
      <c r="G479" s="5">
        <f t="shared" si="21"/>
        <v>-15</v>
      </c>
      <c r="H479" s="6">
        <f t="shared" si="22"/>
        <v>-6</v>
      </c>
      <c r="I479" s="6">
        <f t="shared" si="23"/>
        <v>-2</v>
      </c>
    </row>
    <row r="480" spans="1:9" ht="14.25" customHeight="1" x14ac:dyDescent="0.35">
      <c r="A480" s="2" t="s">
        <v>231</v>
      </c>
      <c r="B480" s="3">
        <v>2002</v>
      </c>
      <c r="C480" s="3">
        <v>2018</v>
      </c>
      <c r="D480" s="3">
        <f>(C480-B480)</f>
        <v>16</v>
      </c>
      <c r="E480" s="4">
        <v>53</v>
      </c>
      <c r="F480" s="4">
        <v>1067</v>
      </c>
      <c r="G480" s="5">
        <f t="shared" si="21"/>
        <v>1014</v>
      </c>
      <c r="H480" s="6">
        <f t="shared" si="22"/>
        <v>1913</v>
      </c>
      <c r="I480" s="6">
        <f t="shared" si="23"/>
        <v>119</v>
      </c>
    </row>
    <row r="481" spans="1:9" ht="14.25" customHeight="1" x14ac:dyDescent="0.35">
      <c r="A481" s="2" t="s">
        <v>406</v>
      </c>
      <c r="B481" s="3">
        <v>2010</v>
      </c>
      <c r="C481" s="3">
        <v>2018</v>
      </c>
      <c r="D481" s="3">
        <f>(C481-B481)</f>
        <v>8</v>
      </c>
      <c r="E481" s="4">
        <v>294</v>
      </c>
      <c r="F481" s="4">
        <v>322</v>
      </c>
      <c r="G481" s="5">
        <f t="shared" si="21"/>
        <v>28</v>
      </c>
      <c r="H481" s="6">
        <f t="shared" si="22"/>
        <v>9</v>
      </c>
      <c r="I481" s="6">
        <f t="shared" si="23"/>
        <v>1</v>
      </c>
    </row>
    <row r="482" spans="1:9" ht="14.25" customHeight="1" x14ac:dyDescent="0.35">
      <c r="A482" s="2" t="s">
        <v>202</v>
      </c>
      <c r="B482" s="3">
        <v>2008</v>
      </c>
      <c r="C482" s="3">
        <v>2018</v>
      </c>
      <c r="D482" s="3">
        <f>(C482-B482)</f>
        <v>10</v>
      </c>
      <c r="E482" s="4">
        <v>299</v>
      </c>
      <c r="F482" s="4">
        <v>6556</v>
      </c>
      <c r="G482" s="5">
        <f t="shared" si="21"/>
        <v>6257</v>
      </c>
      <c r="H482" s="6">
        <f t="shared" si="22"/>
        <v>2092</v>
      </c>
      <c r="I482" s="6">
        <f t="shared" si="23"/>
        <v>209</v>
      </c>
    </row>
    <row r="483" spans="1:9" ht="14.25" customHeight="1" x14ac:dyDescent="0.35">
      <c r="A483" s="2" t="s">
        <v>380</v>
      </c>
      <c r="B483" s="3">
        <v>2003</v>
      </c>
      <c r="C483" s="3">
        <v>2018</v>
      </c>
      <c r="D483" s="3">
        <f>(C483-B483)</f>
        <v>15</v>
      </c>
      <c r="E483" s="4">
        <v>50</v>
      </c>
      <c r="F483" s="4">
        <v>144</v>
      </c>
      <c r="G483" s="5">
        <f t="shared" si="21"/>
        <v>94</v>
      </c>
      <c r="H483" s="6">
        <f t="shared" si="22"/>
        <v>188</v>
      </c>
      <c r="I483" s="6">
        <f t="shared" si="23"/>
        <v>12</v>
      </c>
    </row>
    <row r="484" spans="1:9" ht="14.25" customHeight="1" x14ac:dyDescent="0.35">
      <c r="A484" s="2" t="s">
        <v>407</v>
      </c>
      <c r="B484" s="3">
        <v>2003</v>
      </c>
      <c r="C484" s="3">
        <v>2018</v>
      </c>
      <c r="D484" s="3">
        <f>(C484-B484)</f>
        <v>15</v>
      </c>
      <c r="E484" s="4">
        <v>11</v>
      </c>
      <c r="F484" s="4">
        <v>60</v>
      </c>
      <c r="G484" s="5">
        <f t="shared" si="21"/>
        <v>49</v>
      </c>
      <c r="H484" s="6">
        <f t="shared" si="22"/>
        <v>445</v>
      </c>
      <c r="I484" s="6">
        <f t="shared" si="23"/>
        <v>29</v>
      </c>
    </row>
    <row r="485" spans="1:9" ht="14.25" customHeight="1" x14ac:dyDescent="0.35">
      <c r="A485" s="2" t="s">
        <v>224</v>
      </c>
      <c r="B485" s="3">
        <v>2010</v>
      </c>
      <c r="C485" s="3">
        <v>2018</v>
      </c>
      <c r="D485" s="3">
        <f>(C485-B485)</f>
        <v>8</v>
      </c>
      <c r="E485" s="4">
        <v>141</v>
      </c>
      <c r="F485" s="4">
        <v>1500</v>
      </c>
      <c r="G485" s="5">
        <f t="shared" si="21"/>
        <v>1359</v>
      </c>
      <c r="H485" s="6">
        <f t="shared" si="22"/>
        <v>963</v>
      </c>
      <c r="I485" s="6">
        <f t="shared" si="23"/>
        <v>120</v>
      </c>
    </row>
    <row r="486" spans="1:9" ht="14.25" customHeight="1" x14ac:dyDescent="0.35">
      <c r="A486" s="2" t="s">
        <v>143</v>
      </c>
      <c r="B486" s="3">
        <v>2000</v>
      </c>
      <c r="C486" s="3">
        <v>2018</v>
      </c>
      <c r="D486" s="3">
        <f>(C486-B486)</f>
        <v>18</v>
      </c>
      <c r="E486" s="4">
        <v>100</v>
      </c>
      <c r="F486" s="4">
        <v>261</v>
      </c>
      <c r="G486" s="5">
        <f t="shared" si="21"/>
        <v>161</v>
      </c>
      <c r="H486" s="6">
        <f t="shared" si="22"/>
        <v>161</v>
      </c>
      <c r="I486" s="6">
        <f t="shared" si="23"/>
        <v>8</v>
      </c>
    </row>
    <row r="487" spans="1:9" ht="14.25" customHeight="1" x14ac:dyDescent="0.35">
      <c r="A487" s="2" t="s">
        <v>328</v>
      </c>
      <c r="B487" s="3">
        <v>2002</v>
      </c>
      <c r="C487" s="3">
        <v>2018</v>
      </c>
      <c r="D487" s="3">
        <f>(C487-B487)</f>
        <v>16</v>
      </c>
      <c r="E487" s="4">
        <v>160</v>
      </c>
      <c r="F487" s="4">
        <v>455</v>
      </c>
      <c r="G487" s="5">
        <f t="shared" si="21"/>
        <v>295</v>
      </c>
      <c r="H487" s="6">
        <f t="shared" si="22"/>
        <v>184</v>
      </c>
      <c r="I487" s="6">
        <f t="shared" si="23"/>
        <v>11</v>
      </c>
    </row>
    <row r="488" spans="1:9" ht="14.25" customHeight="1" x14ac:dyDescent="0.35">
      <c r="A488" s="2" t="s">
        <v>146</v>
      </c>
      <c r="B488" s="3">
        <v>2005</v>
      </c>
      <c r="C488" s="3">
        <v>2018</v>
      </c>
      <c r="D488" s="3">
        <f>(C488-B488)</f>
        <v>13</v>
      </c>
      <c r="E488" s="4">
        <v>12</v>
      </c>
      <c r="F488" s="4">
        <v>275</v>
      </c>
      <c r="G488" s="5">
        <f t="shared" si="21"/>
        <v>263</v>
      </c>
      <c r="H488" s="6">
        <f t="shared" si="22"/>
        <v>2191</v>
      </c>
      <c r="I488" s="6">
        <f t="shared" si="23"/>
        <v>168</v>
      </c>
    </row>
    <row r="489" spans="1:9" ht="14.25" customHeight="1" x14ac:dyDescent="0.35">
      <c r="A489" s="2" t="s">
        <v>149</v>
      </c>
      <c r="B489" s="3">
        <v>2000</v>
      </c>
      <c r="C489" s="3">
        <v>2018</v>
      </c>
      <c r="D489" s="3">
        <f>(C489-B489)</f>
        <v>18</v>
      </c>
      <c r="E489" s="4">
        <v>509</v>
      </c>
      <c r="F489" s="4">
        <v>430</v>
      </c>
      <c r="G489" s="5">
        <f t="shared" si="21"/>
        <v>-79</v>
      </c>
      <c r="H489" s="6">
        <f t="shared" si="22"/>
        <v>-16</v>
      </c>
      <c r="I489" s="6">
        <f t="shared" si="23"/>
        <v>-1</v>
      </c>
    </row>
    <row r="490" spans="1:9" ht="14.25" customHeight="1" x14ac:dyDescent="0.35">
      <c r="A490" s="2" t="s">
        <v>362</v>
      </c>
      <c r="B490" s="3">
        <v>2000</v>
      </c>
      <c r="C490" s="3">
        <v>2018</v>
      </c>
      <c r="D490" s="3">
        <f>(C490-B490)</f>
        <v>18</v>
      </c>
      <c r="E490" s="4">
        <v>55</v>
      </c>
      <c r="F490" s="4">
        <v>229</v>
      </c>
      <c r="G490" s="5">
        <f t="shared" si="21"/>
        <v>174</v>
      </c>
      <c r="H490" s="6">
        <f t="shared" si="22"/>
        <v>316</v>
      </c>
      <c r="I490" s="6">
        <f t="shared" si="23"/>
        <v>17</v>
      </c>
    </row>
    <row r="491" spans="1:9" ht="14.25" customHeight="1" x14ac:dyDescent="0.35">
      <c r="A491" s="2" t="s">
        <v>164</v>
      </c>
      <c r="B491" s="3">
        <v>2002</v>
      </c>
      <c r="C491" s="3">
        <v>2018</v>
      </c>
      <c r="D491" s="3">
        <f>(C491-B491)</f>
        <v>16</v>
      </c>
      <c r="E491" s="4">
        <v>10</v>
      </c>
      <c r="F491" s="4">
        <v>1326</v>
      </c>
      <c r="G491" s="5">
        <f t="shared" si="21"/>
        <v>1316</v>
      </c>
      <c r="H491" s="6">
        <f t="shared" si="22"/>
        <v>13160</v>
      </c>
      <c r="I491" s="6">
        <f t="shared" si="23"/>
        <v>822</v>
      </c>
    </row>
  </sheetData>
  <sortState ref="A2:G491">
    <sortCondition ref="A2:A491"/>
  </sortState>
  <conditionalFormatting sqref="G2:I1048576">
    <cfRule type="cellIs" dxfId="0" priority="3" operator="greaterThan">
      <formula>0</formula>
    </cfRule>
    <cfRule type="cellIs" dxfId="1" priority="2" operator="lessThan">
      <formula>0</formula>
    </cfRule>
    <cfRule type="cellIs" dxfId="2" priority="1" operator="equal">
      <formula>0</formula>
    </cfRule>
  </conditionalFormatting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NIfty 500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</dc:creator>
  <cp:lastModifiedBy>Vishnu Upadhyay</cp:lastModifiedBy>
  <dcterms:created xsi:type="dcterms:W3CDTF">2016-10-18T17:01:03Z</dcterms:created>
  <dcterms:modified xsi:type="dcterms:W3CDTF">2019-06-28T11:13:59Z</dcterms:modified>
</cp:coreProperties>
</file>